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Trang UXUI" sheetId="2" state="visible" r:id="rId2"/>
    <sheet xmlns:r="http://schemas.openxmlformats.org/officeDocument/2006/relationships" name="Quy định UI" sheetId="3" state="visible" r:id="rId3"/>
  </sheets>
  <definedNames>
    <definedName name="_xlnm._FilterDatabase" localSheetId="1" hidden="1">'Trang UXUI'!$A$4:$P$72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sz val="14"/>
    </font>
    <font>
      <name val="Arial"/>
      <b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7" fillId="4" borderId="1" pivotButton="0" quotePrefix="0" xfId="0"/>
    <xf numFmtId="0" fontId="7" fillId="4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ont>
        <name val="Arial"/>
        <i val="1"/>
        <color rgb="00808080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1" customWidth="1" min="4" max="4"/>
    <col width="34" customWidth="1" min="5" max="5"/>
    <col width="11" customWidth="1" min="6" max="6"/>
    <col width="13" customWidth="1" min="7" max="7"/>
    <col width="14" customWidth="1" min="8" max="8"/>
  </cols>
  <sheetData>
    <row r="1">
      <c r="A1" s="1" t="inlineStr">
        <is>
          <t>TỔNG HỢP TIẾN ĐỘ UX/UI</t>
        </is>
      </c>
    </row>
    <row r="3" ht="32" customHeight="1">
      <c r="A3" s="2" t="inlineStr">
        <is>
          <t>Theo nhóm</t>
        </is>
      </c>
      <c r="B3" s="2" t="inlineStr">
        <is>
          <t>Số màn hình</t>
        </is>
      </c>
      <c r="C3" s="2" t="inlineStr">
        <is>
          <t>Thiết kế</t>
        </is>
      </c>
      <c r="D3" s="2" t="inlineStr">
        <is>
          <t>Code UI</t>
        </is>
      </c>
      <c r="E3" s="2" t="inlineStr">
        <is>
          <t>Nối API</t>
        </is>
      </c>
      <c r="F3" s="2" t="inlineStr">
        <is>
          <t>Test</t>
        </is>
      </c>
      <c r="G3" s="2" t="inlineStr">
        <is>
          <t>Hoàn thành</t>
        </is>
      </c>
      <c r="H3" s="2" t="inlineStr">
        <is>
          <t>% hoàn thành</t>
        </is>
      </c>
    </row>
    <row r="4">
      <c r="A4" s="3" t="inlineStr">
        <is>
          <t>A. Công khai &amp; xác thực</t>
        </is>
      </c>
      <c r="B4" s="4">
        <f>COUNTIF('Trang UXUI'!$B$5:$B$72,A4)</f>
        <v/>
      </c>
      <c r="C4" s="4">
        <f>COUNTIFS('Trang UXUI'!$B$5:$B$72,$A4,'Trang UXUI'!$J$5:$J$72,"☑")</f>
        <v/>
      </c>
      <c r="D4" s="4">
        <f>COUNTIFS('Trang UXUI'!$B$5:$B$72,$A4,'Trang UXUI'!$K$5:$K$72,"☑")</f>
        <v/>
      </c>
      <c r="E4" s="4">
        <f>COUNTIFS('Trang UXUI'!$B$5:$B$72,$A4,'Trang UXUI'!$L$5:$L$72,"☑")</f>
        <v/>
      </c>
      <c r="F4" s="4">
        <f>COUNTIFS('Trang UXUI'!$B$5:$B$72,$A4,'Trang UXUI'!$M$5:$M$72,"☑")</f>
        <v/>
      </c>
      <c r="G4" s="4">
        <f>COUNTIFS('Trang UXUI'!$B$5:$B$72,$A4,'Trang UXUI'!$N$5:$N$72,"✔ Xong")</f>
        <v/>
      </c>
      <c r="H4" s="5">
        <f>IF(B4=0,0,G4/B4)</f>
        <v/>
      </c>
    </row>
    <row r="5">
      <c r="A5" s="3" t="inlineStr">
        <is>
          <t>B. Khung ứng dụng</t>
        </is>
      </c>
      <c r="B5" s="4">
        <f>COUNTIF('Trang UXUI'!$B$5:$B$72,A5)</f>
        <v/>
      </c>
      <c r="C5" s="4">
        <f>COUNTIFS('Trang UXUI'!$B$5:$B$72,$A5,'Trang UXUI'!$J$5:$J$72,"☑")</f>
        <v/>
      </c>
      <c r="D5" s="4">
        <f>COUNTIFS('Trang UXUI'!$B$5:$B$72,$A5,'Trang UXUI'!$K$5:$K$72,"☑")</f>
        <v/>
      </c>
      <c r="E5" s="4">
        <f>COUNTIFS('Trang UXUI'!$B$5:$B$72,$A5,'Trang UXUI'!$L$5:$L$72,"☑")</f>
        <v/>
      </c>
      <c r="F5" s="4">
        <f>COUNTIFS('Trang UXUI'!$B$5:$B$72,$A5,'Trang UXUI'!$M$5:$M$72,"☑")</f>
        <v/>
      </c>
      <c r="G5" s="4">
        <f>COUNTIFS('Trang UXUI'!$B$5:$B$72,$A5,'Trang UXUI'!$N$5:$N$72,"✔ Xong")</f>
        <v/>
      </c>
      <c r="H5" s="5">
        <f>IF(B5=0,0,G5/B5)</f>
        <v/>
      </c>
    </row>
    <row r="6">
      <c r="A6" s="3" t="inlineStr">
        <is>
          <t>C. Danh mục</t>
        </is>
      </c>
      <c r="B6" s="4">
        <f>COUNTIF('Trang UXUI'!$B$5:$B$72,A6)</f>
        <v/>
      </c>
      <c r="C6" s="4">
        <f>COUNTIFS('Trang UXUI'!$B$5:$B$72,$A6,'Trang UXUI'!$J$5:$J$72,"☑")</f>
        <v/>
      </c>
      <c r="D6" s="4">
        <f>COUNTIFS('Trang UXUI'!$B$5:$B$72,$A6,'Trang UXUI'!$K$5:$K$72,"☑")</f>
        <v/>
      </c>
      <c r="E6" s="4">
        <f>COUNTIFS('Trang UXUI'!$B$5:$B$72,$A6,'Trang UXUI'!$L$5:$L$72,"☑")</f>
        <v/>
      </c>
      <c r="F6" s="4">
        <f>COUNTIFS('Trang UXUI'!$B$5:$B$72,$A6,'Trang UXUI'!$M$5:$M$72,"☑")</f>
        <v/>
      </c>
      <c r="G6" s="4">
        <f>COUNTIFS('Trang UXUI'!$B$5:$B$72,$A6,'Trang UXUI'!$N$5:$N$72,"✔ Xong")</f>
        <v/>
      </c>
      <c r="H6" s="5">
        <f>IF(B6=0,0,G6/B6)</f>
        <v/>
      </c>
    </row>
    <row r="7">
      <c r="A7" s="3" t="inlineStr">
        <is>
          <t>D. Tồn kho</t>
        </is>
      </c>
      <c r="B7" s="4">
        <f>COUNTIF('Trang UXUI'!$B$5:$B$72,A7)</f>
        <v/>
      </c>
      <c r="C7" s="4">
        <f>COUNTIFS('Trang UXUI'!$B$5:$B$72,$A7,'Trang UXUI'!$J$5:$J$72,"☑")</f>
        <v/>
      </c>
      <c r="D7" s="4">
        <f>COUNTIFS('Trang UXUI'!$B$5:$B$72,$A7,'Trang UXUI'!$K$5:$K$72,"☑")</f>
        <v/>
      </c>
      <c r="E7" s="4">
        <f>COUNTIFS('Trang UXUI'!$B$5:$B$72,$A7,'Trang UXUI'!$L$5:$L$72,"☑")</f>
        <v/>
      </c>
      <c r="F7" s="4">
        <f>COUNTIFS('Trang UXUI'!$B$5:$B$72,$A7,'Trang UXUI'!$M$5:$M$72,"☑")</f>
        <v/>
      </c>
      <c r="G7" s="4">
        <f>COUNTIFS('Trang UXUI'!$B$5:$B$72,$A7,'Trang UXUI'!$N$5:$N$72,"✔ Xong")</f>
        <v/>
      </c>
      <c r="H7" s="5">
        <f>IF(B7=0,0,G7/B7)</f>
        <v/>
      </c>
    </row>
    <row r="8">
      <c r="A8" s="3" t="inlineStr">
        <is>
          <t>E. Phiếu nhập</t>
        </is>
      </c>
      <c r="B8" s="4">
        <f>COUNTIF('Trang UXUI'!$B$5:$B$72,A8)</f>
        <v/>
      </c>
      <c r="C8" s="4">
        <f>COUNTIFS('Trang UXUI'!$B$5:$B$72,$A8,'Trang UXUI'!$J$5:$J$72,"☑")</f>
        <v/>
      </c>
      <c r="D8" s="4">
        <f>COUNTIFS('Trang UXUI'!$B$5:$B$72,$A8,'Trang UXUI'!$K$5:$K$72,"☑")</f>
        <v/>
      </c>
      <c r="E8" s="4">
        <f>COUNTIFS('Trang UXUI'!$B$5:$B$72,$A8,'Trang UXUI'!$L$5:$L$72,"☑")</f>
        <v/>
      </c>
      <c r="F8" s="4">
        <f>COUNTIFS('Trang UXUI'!$B$5:$B$72,$A8,'Trang UXUI'!$M$5:$M$72,"☑")</f>
        <v/>
      </c>
      <c r="G8" s="4">
        <f>COUNTIFS('Trang UXUI'!$B$5:$B$72,$A8,'Trang UXUI'!$N$5:$N$72,"✔ Xong")</f>
        <v/>
      </c>
      <c r="H8" s="5">
        <f>IF(B8=0,0,G8/B8)</f>
        <v/>
      </c>
    </row>
    <row r="9">
      <c r="A9" s="3" t="inlineStr">
        <is>
          <t>F. Phiếu xuất</t>
        </is>
      </c>
      <c r="B9" s="4">
        <f>COUNTIF('Trang UXUI'!$B$5:$B$72,A9)</f>
        <v/>
      </c>
      <c r="C9" s="4">
        <f>COUNTIFS('Trang UXUI'!$B$5:$B$72,$A9,'Trang UXUI'!$J$5:$J$72,"☑")</f>
        <v/>
      </c>
      <c r="D9" s="4">
        <f>COUNTIFS('Trang UXUI'!$B$5:$B$72,$A9,'Trang UXUI'!$K$5:$K$72,"☑")</f>
        <v/>
      </c>
      <c r="E9" s="4">
        <f>COUNTIFS('Trang UXUI'!$B$5:$B$72,$A9,'Trang UXUI'!$L$5:$L$72,"☑")</f>
        <v/>
      </c>
      <c r="F9" s="4">
        <f>COUNTIFS('Trang UXUI'!$B$5:$B$72,$A9,'Trang UXUI'!$M$5:$M$72,"☑")</f>
        <v/>
      </c>
      <c r="G9" s="4">
        <f>COUNTIFS('Trang UXUI'!$B$5:$B$72,$A9,'Trang UXUI'!$N$5:$N$72,"✔ Xong")</f>
        <v/>
      </c>
      <c r="H9" s="5">
        <f>IF(B9=0,0,G9/B9)</f>
        <v/>
      </c>
    </row>
    <row r="10">
      <c r="A10" s="3" t="inlineStr">
        <is>
          <t>G. Thuê / mượn</t>
        </is>
      </c>
      <c r="B10" s="4">
        <f>COUNTIF('Trang UXUI'!$B$5:$B$72,A10)</f>
        <v/>
      </c>
      <c r="C10" s="4">
        <f>COUNTIFS('Trang UXUI'!$B$5:$B$72,$A10,'Trang UXUI'!$J$5:$J$72,"☑")</f>
        <v/>
      </c>
      <c r="D10" s="4">
        <f>COUNTIFS('Trang UXUI'!$B$5:$B$72,$A10,'Trang UXUI'!$K$5:$K$72,"☑")</f>
        <v/>
      </c>
      <c r="E10" s="4">
        <f>COUNTIFS('Trang UXUI'!$B$5:$B$72,$A10,'Trang UXUI'!$L$5:$L$72,"☑")</f>
        <v/>
      </c>
      <c r="F10" s="4">
        <f>COUNTIFS('Trang UXUI'!$B$5:$B$72,$A10,'Trang UXUI'!$M$5:$M$72,"☑")</f>
        <v/>
      </c>
      <c r="G10" s="4">
        <f>COUNTIFS('Trang UXUI'!$B$5:$B$72,$A10,'Trang UXUI'!$N$5:$N$72,"✔ Xong")</f>
        <v/>
      </c>
      <c r="H10" s="5">
        <f>IF(B10=0,0,G10/B10)</f>
        <v/>
      </c>
    </row>
    <row r="11">
      <c r="A11" s="3" t="inlineStr">
        <is>
          <t>H. Kiểm kê &amp; điều chỉnh</t>
        </is>
      </c>
      <c r="B11" s="4">
        <f>COUNTIF('Trang UXUI'!$B$5:$B$72,A11)</f>
        <v/>
      </c>
      <c r="C11" s="4">
        <f>COUNTIFS('Trang UXUI'!$B$5:$B$72,$A11,'Trang UXUI'!$J$5:$J$72,"☑")</f>
        <v/>
      </c>
      <c r="D11" s="4">
        <f>COUNTIFS('Trang UXUI'!$B$5:$B$72,$A11,'Trang UXUI'!$K$5:$K$72,"☑")</f>
        <v/>
      </c>
      <c r="E11" s="4">
        <f>COUNTIFS('Trang UXUI'!$B$5:$B$72,$A11,'Trang UXUI'!$L$5:$L$72,"☑")</f>
        <v/>
      </c>
      <c r="F11" s="4">
        <f>COUNTIFS('Trang UXUI'!$B$5:$B$72,$A11,'Trang UXUI'!$M$5:$M$72,"☑")</f>
        <v/>
      </c>
      <c r="G11" s="4">
        <f>COUNTIFS('Trang UXUI'!$B$5:$B$72,$A11,'Trang UXUI'!$N$5:$N$72,"✔ Xong")</f>
        <v/>
      </c>
      <c r="H11" s="5">
        <f>IF(B11=0,0,G11/B11)</f>
        <v/>
      </c>
    </row>
    <row r="12">
      <c r="A12" s="3" t="inlineStr">
        <is>
          <t>I. Chuyển kho</t>
        </is>
      </c>
      <c r="B12" s="4">
        <f>COUNTIF('Trang UXUI'!$B$5:$B$72,A12)</f>
        <v/>
      </c>
      <c r="C12" s="4">
        <f>COUNTIFS('Trang UXUI'!$B$5:$B$72,$A12,'Trang UXUI'!$J$5:$J$72,"☑")</f>
        <v/>
      </c>
      <c r="D12" s="4">
        <f>COUNTIFS('Trang UXUI'!$B$5:$B$72,$A12,'Trang UXUI'!$K$5:$K$72,"☑")</f>
        <v/>
      </c>
      <c r="E12" s="4">
        <f>COUNTIFS('Trang UXUI'!$B$5:$B$72,$A12,'Trang UXUI'!$L$5:$L$72,"☑")</f>
        <v/>
      </c>
      <c r="F12" s="4">
        <f>COUNTIFS('Trang UXUI'!$B$5:$B$72,$A12,'Trang UXUI'!$M$5:$M$72,"☑")</f>
        <v/>
      </c>
      <c r="G12" s="4">
        <f>COUNTIFS('Trang UXUI'!$B$5:$B$72,$A12,'Trang UXUI'!$N$5:$N$72,"✔ Xong")</f>
        <v/>
      </c>
      <c r="H12" s="5">
        <f>IF(B12=0,0,G12/B12)</f>
        <v/>
      </c>
    </row>
    <row r="13">
      <c r="A13" s="3" t="inlineStr">
        <is>
          <t>J. Báo cáo</t>
        </is>
      </c>
      <c r="B13" s="4">
        <f>COUNTIF('Trang UXUI'!$B$5:$B$72,A13)</f>
        <v/>
      </c>
      <c r="C13" s="4">
        <f>COUNTIFS('Trang UXUI'!$B$5:$B$72,$A13,'Trang UXUI'!$J$5:$J$72,"☑")</f>
        <v/>
      </c>
      <c r="D13" s="4">
        <f>COUNTIFS('Trang UXUI'!$B$5:$B$72,$A13,'Trang UXUI'!$K$5:$K$72,"☑")</f>
        <v/>
      </c>
      <c r="E13" s="4">
        <f>COUNTIFS('Trang UXUI'!$B$5:$B$72,$A13,'Trang UXUI'!$L$5:$L$72,"☑")</f>
        <v/>
      </c>
      <c r="F13" s="4">
        <f>COUNTIFS('Trang UXUI'!$B$5:$B$72,$A13,'Trang UXUI'!$M$5:$M$72,"☑")</f>
        <v/>
      </c>
      <c r="G13" s="4">
        <f>COUNTIFS('Trang UXUI'!$B$5:$B$72,$A13,'Trang UXUI'!$N$5:$N$72,"✔ Xong")</f>
        <v/>
      </c>
      <c r="H13" s="5">
        <f>IF(B13=0,0,G13/B13)</f>
        <v/>
      </c>
    </row>
    <row r="14">
      <c r="A14" s="3" t="inlineStr">
        <is>
          <t>K. Quản trị</t>
        </is>
      </c>
      <c r="B14" s="4">
        <f>COUNTIF('Trang UXUI'!$B$5:$B$72,A14)</f>
        <v/>
      </c>
      <c r="C14" s="4">
        <f>COUNTIFS('Trang UXUI'!$B$5:$B$72,$A14,'Trang UXUI'!$J$5:$J$72,"☑")</f>
        <v/>
      </c>
      <c r="D14" s="4">
        <f>COUNTIFS('Trang UXUI'!$B$5:$B$72,$A14,'Trang UXUI'!$K$5:$K$72,"☑")</f>
        <v/>
      </c>
      <c r="E14" s="4">
        <f>COUNTIFS('Trang UXUI'!$B$5:$B$72,$A14,'Trang UXUI'!$L$5:$L$72,"☑")</f>
        <v/>
      </c>
      <c r="F14" s="4">
        <f>COUNTIFS('Trang UXUI'!$B$5:$B$72,$A14,'Trang UXUI'!$M$5:$M$72,"☑")</f>
        <v/>
      </c>
      <c r="G14" s="4">
        <f>COUNTIFS('Trang UXUI'!$B$5:$B$72,$A14,'Trang UXUI'!$N$5:$N$72,"✔ Xong")</f>
        <v/>
      </c>
      <c r="H14" s="5">
        <f>IF(B14=0,0,G14/B14)</f>
        <v/>
      </c>
    </row>
    <row r="15">
      <c r="A15" s="3" t="inlineStr">
        <is>
          <t>L. Trả hàng bán (P2)</t>
        </is>
      </c>
      <c r="B15" s="4">
        <f>COUNTIF('Trang UXUI'!$B$5:$B$72,A15)</f>
        <v/>
      </c>
      <c r="C15" s="4">
        <f>COUNTIFS('Trang UXUI'!$B$5:$B$72,$A15,'Trang UXUI'!$J$5:$J$72,"☑")</f>
        <v/>
      </c>
      <c r="D15" s="4">
        <f>COUNTIFS('Trang UXUI'!$B$5:$B$72,$A15,'Trang UXUI'!$K$5:$K$72,"☑")</f>
        <v/>
      </c>
      <c r="E15" s="4">
        <f>COUNTIFS('Trang UXUI'!$B$5:$B$72,$A15,'Trang UXUI'!$L$5:$L$72,"☑")</f>
        <v/>
      </c>
      <c r="F15" s="4">
        <f>COUNTIFS('Trang UXUI'!$B$5:$B$72,$A15,'Trang UXUI'!$M$5:$M$72,"☑")</f>
        <v/>
      </c>
      <c r="G15" s="4">
        <f>COUNTIFS('Trang UXUI'!$B$5:$B$72,$A15,'Trang UXUI'!$N$5:$N$72,"✔ Xong")</f>
        <v/>
      </c>
      <c r="H15" s="5">
        <f>IF(B15=0,0,G15/B15)</f>
        <v/>
      </c>
    </row>
    <row r="16">
      <c r="A16" s="6" t="inlineStr">
        <is>
          <t>TỔNG</t>
        </is>
      </c>
      <c r="B16" s="7">
        <f>SUM(B4:B15)</f>
        <v/>
      </c>
      <c r="C16" s="7">
        <f>SUM(C4:C15)</f>
        <v/>
      </c>
      <c r="D16" s="7">
        <f>SUM(D4:D15)</f>
        <v/>
      </c>
      <c r="E16" s="7">
        <f>SUM(E4:E15)</f>
        <v/>
      </c>
      <c r="F16" s="7">
        <f>SUM(F4:F15)</f>
        <v/>
      </c>
      <c r="G16" s="7">
        <f>SUM(G4:G15)</f>
        <v/>
      </c>
      <c r="H16" s="8">
        <f>IF(B16=0,0,G16/B16)</f>
        <v/>
      </c>
    </row>
    <row r="19" ht="32" customHeight="1">
      <c r="A19" s="2" t="inlineStr">
        <is>
          <t>Theo milestone</t>
        </is>
      </c>
      <c r="B19" s="2" t="inlineStr">
        <is>
          <t>Số màn hình</t>
        </is>
      </c>
      <c r="C19" s="2" t="inlineStr">
        <is>
          <t>Hoàn thành</t>
        </is>
      </c>
      <c r="D19" s="2" t="inlineStr">
        <is>
          <t>% hoàn thành</t>
        </is>
      </c>
      <c r="E19" s="2" t="inlineStr">
        <is>
          <t>Mốc</t>
        </is>
      </c>
    </row>
    <row r="20">
      <c r="A20" s="3" t="inlineStr">
        <is>
          <t>M1</t>
        </is>
      </c>
      <c r="B20" s="4">
        <f>COUNTIF('Trang UXUI'!$I$5:$I$72,A20)</f>
        <v/>
      </c>
      <c r="C20" s="4">
        <f>COUNTIFS('Trang UXUI'!$I$5:$I$72,A20,'Trang UXUI'!$N$5:$N$72,"✔ Xong")</f>
        <v/>
      </c>
      <c r="D20" s="5">
        <f>IF(B20=0,0,C20/B20)</f>
        <v/>
      </c>
      <c r="E20" s="3" t="inlineStr">
        <is>
          <t>Tuần 1–5: nền tảng &amp; xác thực</t>
        </is>
      </c>
    </row>
    <row r="21">
      <c r="A21" s="3" t="inlineStr">
        <is>
          <t>M2</t>
        </is>
      </c>
      <c r="B21" s="4">
        <f>COUNTIF('Trang UXUI'!$I$5:$I$72,A21)</f>
        <v/>
      </c>
      <c r="C21" s="4">
        <f>COUNTIFS('Trang UXUI'!$I$5:$I$72,A21,'Trang UXUI'!$N$5:$N$72,"✔ Xong")</f>
        <v/>
      </c>
      <c r="D21" s="5">
        <f>IF(B21=0,0,C21/B21)</f>
        <v/>
      </c>
      <c r="E21" s="3" t="inlineStr">
        <is>
          <t>Tuần 6–8: danh mục &amp; quản trị</t>
        </is>
      </c>
    </row>
    <row r="22">
      <c r="A22" s="3" t="inlineStr">
        <is>
          <t>M3</t>
        </is>
      </c>
      <c r="B22" s="4">
        <f>COUNTIF('Trang UXUI'!$I$5:$I$72,A22)</f>
        <v/>
      </c>
      <c r="C22" s="4">
        <f>COUNTIFS('Trang UXUI'!$I$5:$I$72,A22,'Trang UXUI'!$N$5:$N$72,"✔ Xong")</f>
        <v/>
      </c>
      <c r="D22" s="5">
        <f>IF(B22=0,0,C22/B22)</f>
        <v/>
      </c>
      <c r="E22" s="3" t="inlineStr">
        <is>
          <t>Tuần 8–10: nhập &amp; xuất kho</t>
        </is>
      </c>
    </row>
    <row r="23">
      <c r="A23" s="3" t="inlineStr">
        <is>
          <t>M4</t>
        </is>
      </c>
      <c r="B23" s="4">
        <f>COUNTIF('Trang UXUI'!$I$5:$I$72,A23)</f>
        <v/>
      </c>
      <c r="C23" s="4">
        <f>COUNTIFS('Trang UXUI'!$I$5:$I$72,A23,'Trang UXUI'!$N$5:$N$72,"✔ Xong")</f>
        <v/>
      </c>
      <c r="D23" s="5">
        <f>IF(B23=0,0,C23/B23)</f>
        <v/>
      </c>
      <c r="E23" s="3" t="inlineStr">
        <is>
          <t>Tuần 10–12: thuê, kiểm kê</t>
        </is>
      </c>
    </row>
    <row r="24">
      <c r="A24" s="3" t="inlineStr">
        <is>
          <t>M5</t>
        </is>
      </c>
      <c r="B24" s="4">
        <f>COUNTIF('Trang UXUI'!$I$5:$I$72,A24)</f>
        <v/>
      </c>
      <c r="C24" s="4">
        <f>COUNTIFS('Trang UXUI'!$I$5:$I$72,A24,'Trang UXUI'!$N$5:$N$72,"✔ Xong")</f>
        <v/>
      </c>
      <c r="D24" s="5">
        <f>IF(B24=0,0,C24/B24)</f>
        <v/>
      </c>
      <c r="E24" s="3" t="inlineStr">
        <is>
          <t>Tuần 11–13: dashboard, báo cáo</t>
        </is>
      </c>
    </row>
    <row r="25">
      <c r="A25" s="3" t="inlineStr">
        <is>
          <t>M6</t>
        </is>
      </c>
      <c r="B25" s="4">
        <f>COUNTIF('Trang UXUI'!$I$5:$I$72,A25)</f>
        <v/>
      </c>
      <c r="C25" s="4">
        <f>COUNTIFS('Trang UXUI'!$I$5:$I$72,A25,'Trang UXUI'!$N$5:$N$72,"✔ Xong")</f>
        <v/>
      </c>
      <c r="D25" s="5">
        <f>IF(B25=0,0,C25/B25)</f>
        <v/>
      </c>
      <c r="E25" s="3" t="inlineStr">
        <is>
          <t>Phase 2 (sau 27/12/2026)</t>
        </is>
      </c>
    </row>
    <row r="26">
      <c r="A26" s="3" t="inlineStr">
        <is>
          <t>Chờ chốt</t>
        </is>
      </c>
      <c r="B26" s="4">
        <f>COUNTIF('Trang UXUI'!$I$5:$I$72,A26)</f>
        <v/>
      </c>
      <c r="C26" s="4">
        <f>COUNTIFS('Trang UXUI'!$I$5:$I$72,A26,'Trang UXUI'!$N$5:$N$72,"✔ Xong")</f>
        <v/>
      </c>
      <c r="D26" s="5">
        <f>IF(B26=0,0,C26/B26)</f>
        <v/>
      </c>
      <c r="E26" s="3" t="inlineStr">
        <is>
          <t>Cần chốt G-1 / phạm vi v6</t>
        </is>
      </c>
    </row>
  </sheetData>
  <conditionalFormatting sqref="H4:H16">
    <cfRule type="cellIs" priority="1" operator="equal" dxfId="0">
      <formula>1</formula>
    </cfRule>
  </conditionalFormatting>
  <conditionalFormatting sqref="D20:D26">
    <cfRule type="cellIs" priority="2" operator="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zoomScale="9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30" customWidth="1" min="4" max="4"/>
    <col width="20" customWidth="1" min="5" max="5"/>
    <col width="11" customWidth="1" min="6" max="6"/>
    <col width="18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12" customWidth="1" min="13" max="13"/>
    <col width="12" customWidth="1" min="14" max="14"/>
    <col width="12" customWidth="1" min="15" max="15"/>
    <col width="40" customWidth="1" min="16" max="16"/>
  </cols>
  <sheetData>
    <row r="1">
      <c r="A1" s="1" t="inlineStr">
        <is>
          <t>TIGERNET — CHECKLIST CÁC TRANG UX/UI CẦN THỰC HIỆN</t>
        </is>
      </c>
    </row>
    <row r="2" ht="30" customHeight="1">
      <c r="A2" s="9" t="inlineStr">
        <is>
          <t>Hướng dẫn: chỉ sửa 4 cột checkbox màu vàng (Thiết kế → Code UI → Nối API → Test) bằng cách chọn ☐/☑ ở dropdown. Cột 'Hoàn thành' tự tính; dòng đủ 4 ô ☑ tự chuyển xanh. Nguồn: BACKLOG.md, NOTE UXUI (Kế hoạch TigerNet.xlsx), BIEU_MAU.md, Backend_Structure_v6.md.</t>
        </is>
      </c>
    </row>
    <row r="4" ht="32" customHeight="1">
      <c r="A4" s="2" t="inlineStr">
        <is>
          <t>STT</t>
        </is>
      </c>
      <c r="B4" s="2" t="inlineStr">
        <is>
          <t>Nhóm</t>
        </is>
      </c>
      <c r="C4" s="2" t="inlineStr">
        <is>
          <t>Trang / Màn hình</t>
        </is>
      </c>
      <c r="D4" s="2" t="inlineStr">
        <is>
          <t>Route (go_router)</t>
        </is>
      </c>
      <c r="E4" s="2" t="inlineStr">
        <is>
          <t>Story</t>
        </is>
      </c>
      <c r="F4" s="2" t="inlineStr">
        <is>
          <t>NOTE UXUI</t>
        </is>
      </c>
      <c r="G4" s="2" t="inlineStr">
        <is>
          <t>Vai trò</t>
        </is>
      </c>
      <c r="H4" s="2" t="inlineStr">
        <is>
          <t>Ưu tiên</t>
        </is>
      </c>
      <c r="I4" s="2" t="inlineStr">
        <is>
          <t>Milestone</t>
        </is>
      </c>
      <c r="J4" s="2" t="inlineStr">
        <is>
          <t>Thiết kế</t>
        </is>
      </c>
      <c r="K4" s="2" t="inlineStr">
        <is>
          <t>Code UI</t>
        </is>
      </c>
      <c r="L4" s="2" t="inlineStr">
        <is>
          <t>Nối API</t>
        </is>
      </c>
      <c r="M4" s="2" t="inlineStr">
        <is>
          <t>Test (responsive + dark)</t>
        </is>
      </c>
      <c r="N4" s="2" t="inlineStr">
        <is>
          <t>Hoàn thành</t>
        </is>
      </c>
      <c r="O4" s="2" t="inlineStr">
        <is>
          <t>Ngày xong</t>
        </is>
      </c>
      <c r="P4" s="2" t="inlineStr">
        <is>
          <t>Ghi chú</t>
        </is>
      </c>
    </row>
    <row r="5">
      <c r="A5" s="4" t="n">
        <v>1</v>
      </c>
      <c r="B5" s="10" t="inlineStr">
        <is>
          <t>A. Công khai &amp; xác thực</t>
        </is>
      </c>
      <c r="C5" s="10" t="inlineStr">
        <is>
          <t>Trang chủ công khai</t>
        </is>
      </c>
      <c r="D5" s="10" t="inlineStr">
        <is>
          <t>/</t>
        </is>
      </c>
      <c r="E5" s="10" t="inlineStr">
        <is>
          <t>PUB-01</t>
        </is>
      </c>
      <c r="F5" s="10" t="inlineStr">
        <is>
          <t>#12</t>
        </is>
      </c>
      <c r="G5" s="10" t="inlineStr">
        <is>
          <t>Khách</t>
        </is>
      </c>
      <c r="H5" s="4" t="inlineStr">
        <is>
          <t>P1</t>
        </is>
      </c>
      <c r="I5" s="4" t="inlineStr">
        <is>
          <t>M1</t>
        </is>
      </c>
      <c r="J5" s="11" t="inlineStr">
        <is>
          <t>☐</t>
        </is>
      </c>
      <c r="K5" s="11" t="inlineStr">
        <is>
          <t>☐</t>
        </is>
      </c>
      <c r="L5" s="11" t="inlineStr">
        <is>
          <t>☐</t>
        </is>
      </c>
      <c r="M5" s="11" t="inlineStr">
        <is>
          <t>☐</t>
        </is>
      </c>
      <c r="N5" s="4">
        <f>IF(COUNTIF(J5:M5,"☑")=4,"✔ Xong",COUNTIF(J5:M5,"☑")&amp;"/4")</f>
        <v/>
      </c>
      <c r="O5" s="12" t="n"/>
      <c r="P5" s="10" t="inlineStr">
        <is>
          <t>Chưa đăng nhập chỉ thấy trang này</t>
        </is>
      </c>
    </row>
    <row r="6">
      <c r="A6" s="4" t="n">
        <v>2</v>
      </c>
      <c r="B6" s="10" t="inlineStr">
        <is>
          <t>A. Công khai &amp; xác thực</t>
        </is>
      </c>
      <c r="C6" s="10" t="inlineStr">
        <is>
          <t>Đăng nhập</t>
        </is>
      </c>
      <c r="D6" s="10" t="inlineStr">
        <is>
          <t>/login</t>
        </is>
      </c>
      <c r="E6" s="10" t="inlineStr">
        <is>
          <t>PUB-02</t>
        </is>
      </c>
      <c r="F6" s="10" t="inlineStr">
        <is>
          <t>#11</t>
        </is>
      </c>
      <c r="G6" s="10" t="inlineStr">
        <is>
          <t>Tất cả</t>
        </is>
      </c>
      <c r="H6" s="4" t="inlineStr">
        <is>
          <t>P1</t>
        </is>
      </c>
      <c r="I6" s="4" t="inlineStr">
        <is>
          <t>M1</t>
        </is>
      </c>
      <c r="J6" s="11" t="inlineStr">
        <is>
          <t>☐</t>
        </is>
      </c>
      <c r="K6" s="11" t="inlineStr">
        <is>
          <t>☐</t>
        </is>
      </c>
      <c r="L6" s="11" t="inlineStr">
        <is>
          <t>☐</t>
        </is>
      </c>
      <c r="M6" s="11" t="inlineStr">
        <is>
          <t>☐</t>
        </is>
      </c>
      <c r="N6" s="4">
        <f>IF(COUNTIF(J6:M6,"☑")=4,"✔ Xong",COUNTIF(J6:M6,"☑")&amp;"/4")</f>
        <v/>
      </c>
      <c r="O6" s="12" t="n"/>
      <c r="P6" s="10" t="inlineStr">
        <is>
          <t>Báo khoá 15' sau 5 lần sai</t>
        </is>
      </c>
    </row>
    <row r="7">
      <c r="A7" s="4" t="n">
        <v>3</v>
      </c>
      <c r="B7" s="10" t="inlineStr">
        <is>
          <t>A. Công khai &amp; xác thực</t>
        </is>
      </c>
      <c r="C7" s="10" t="inlineStr">
        <is>
          <t>Quên mật khẩu - nhập email</t>
        </is>
      </c>
      <c r="D7" s="10" t="inlineStr">
        <is>
          <t>/forgot-password</t>
        </is>
      </c>
      <c r="E7" s="10" t="inlineStr">
        <is>
          <t>PUB-03</t>
        </is>
      </c>
      <c r="F7" s="10" t="inlineStr">
        <is>
          <t>#11</t>
        </is>
      </c>
      <c r="G7" s="10" t="inlineStr">
        <is>
          <t>Tất cả</t>
        </is>
      </c>
      <c r="H7" s="4" t="inlineStr">
        <is>
          <t>P1</t>
        </is>
      </c>
      <c r="I7" s="4" t="inlineStr">
        <is>
          <t>M2</t>
        </is>
      </c>
      <c r="J7" s="11" t="inlineStr">
        <is>
          <t>☐</t>
        </is>
      </c>
      <c r="K7" s="11" t="inlineStr">
        <is>
          <t>☐</t>
        </is>
      </c>
      <c r="L7" s="11" t="inlineStr">
        <is>
          <t>☐</t>
        </is>
      </c>
      <c r="M7" s="11" t="inlineStr">
        <is>
          <t>☐</t>
        </is>
      </c>
      <c r="N7" s="4">
        <f>IF(COUNTIF(J7:M7,"☑")=4,"✔ Xong",COUNTIF(J7:M7,"☑")&amp;"/4")</f>
        <v/>
      </c>
      <c r="O7" s="12" t="n"/>
      <c r="P7" s="10" t="inlineStr">
        <is>
          <t>Không tiết lộ email có tồn tại</t>
        </is>
      </c>
    </row>
    <row r="8">
      <c r="A8" s="4" t="n">
        <v>4</v>
      </c>
      <c r="B8" s="10" t="inlineStr">
        <is>
          <t>A. Công khai &amp; xác thực</t>
        </is>
      </c>
      <c r="C8" s="10" t="inlineStr">
        <is>
          <t>Quên mật khẩu - nhập OTP</t>
        </is>
      </c>
      <c r="D8" s="10" t="inlineStr">
        <is>
          <t>/forgot-password/otp</t>
        </is>
      </c>
      <c r="E8" s="10" t="inlineStr">
        <is>
          <t>PUB-03</t>
        </is>
      </c>
      <c r="F8" s="10" t="inlineStr">
        <is>
          <t>#11</t>
        </is>
      </c>
      <c r="G8" s="10" t="inlineStr">
        <is>
          <t>Tất cả</t>
        </is>
      </c>
      <c r="H8" s="4" t="inlineStr">
        <is>
          <t>P1</t>
        </is>
      </c>
      <c r="I8" s="4" t="inlineStr">
        <is>
          <t>M2</t>
        </is>
      </c>
      <c r="J8" s="11" t="inlineStr">
        <is>
          <t>☐</t>
        </is>
      </c>
      <c r="K8" s="11" t="inlineStr">
        <is>
          <t>☐</t>
        </is>
      </c>
      <c r="L8" s="11" t="inlineStr">
        <is>
          <t>☐</t>
        </is>
      </c>
      <c r="M8" s="11" t="inlineStr">
        <is>
          <t>☐</t>
        </is>
      </c>
      <c r="N8" s="4">
        <f>IF(COUNTIF(J8:M8,"☑")=4,"✔ Xong",COUNTIF(J8:M8,"☑")&amp;"/4")</f>
        <v/>
      </c>
      <c r="O8" s="12" t="n"/>
      <c r="P8" s="10" t="inlineStr">
        <is>
          <t>OTP hiệu lực 10 phút</t>
        </is>
      </c>
    </row>
    <row r="9">
      <c r="A9" s="4" t="n">
        <v>5</v>
      </c>
      <c r="B9" s="10" t="inlineStr">
        <is>
          <t>A. Công khai &amp; xác thực</t>
        </is>
      </c>
      <c r="C9" s="10" t="inlineStr">
        <is>
          <t>Đặt lại mật khẩu</t>
        </is>
      </c>
      <c r="D9" s="10" t="inlineStr">
        <is>
          <t>/reset-password</t>
        </is>
      </c>
      <c r="E9" s="10" t="inlineStr">
        <is>
          <t>PUB-03</t>
        </is>
      </c>
      <c r="F9" s="10" t="inlineStr">
        <is>
          <t>#11</t>
        </is>
      </c>
      <c r="G9" s="10" t="inlineStr">
        <is>
          <t>Tất cả</t>
        </is>
      </c>
      <c r="H9" s="4" t="inlineStr">
        <is>
          <t>P1</t>
        </is>
      </c>
      <c r="I9" s="4" t="inlineStr">
        <is>
          <t>M2</t>
        </is>
      </c>
      <c r="J9" s="11" t="inlineStr">
        <is>
          <t>☐</t>
        </is>
      </c>
      <c r="K9" s="11" t="inlineStr">
        <is>
          <t>☐</t>
        </is>
      </c>
      <c r="L9" s="11" t="inlineStr">
        <is>
          <t>☐</t>
        </is>
      </c>
      <c r="M9" s="11" t="inlineStr">
        <is>
          <t>☐</t>
        </is>
      </c>
      <c r="N9" s="4">
        <f>IF(COUNTIF(J9:M9,"☑")=4,"✔ Xong",COUNTIF(J9:M9,"☑")&amp;"/4")</f>
        <v/>
      </c>
      <c r="O9" s="12" t="n"/>
      <c r="P9" s="10" t="inlineStr"/>
    </row>
    <row r="10">
      <c r="A10" s="4" t="n">
        <v>6</v>
      </c>
      <c r="B10" s="10" t="inlineStr">
        <is>
          <t>A. Công khai &amp; xác thực</t>
        </is>
      </c>
      <c r="C10" s="10" t="inlineStr">
        <is>
          <t>Đăng ký</t>
        </is>
      </c>
      <c r="D10" s="10" t="inlineStr">
        <is>
          <t>/register</t>
        </is>
      </c>
      <c r="E10" s="10" t="inlineStr">
        <is>
          <t>PUB-04</t>
        </is>
      </c>
      <c r="F10" s="10" t="inlineStr">
        <is>
          <t>#11</t>
        </is>
      </c>
      <c r="G10" s="10" t="inlineStr">
        <is>
          <t>Khách</t>
        </is>
      </c>
      <c r="H10" s="4" t="inlineStr">
        <is>
          <t>Chờ chốt</t>
        </is>
      </c>
      <c r="I10" s="4" t="inlineStr">
        <is>
          <t>Chờ chốt</t>
        </is>
      </c>
      <c r="J10" s="11" t="inlineStr">
        <is>
          <t>☐</t>
        </is>
      </c>
      <c r="K10" s="11" t="inlineStr">
        <is>
          <t>☐</t>
        </is>
      </c>
      <c r="L10" s="11" t="inlineStr">
        <is>
          <t>☐</t>
        </is>
      </c>
      <c r="M10" s="11" t="inlineStr">
        <is>
          <t>☐</t>
        </is>
      </c>
      <c r="N10" s="4">
        <f>IF(COUNTIF(J10:M10,"☑")=4,"✔ Xong",COUNTIF(J10:M10,"☑")&amp;"/4")</f>
        <v/>
      </c>
      <c r="O10" s="12" t="n"/>
      <c r="P10" s="10" t="inlineStr">
        <is>
          <t>G-1: chưa có API, khuyến nghị bỏ</t>
        </is>
      </c>
    </row>
    <row r="11">
      <c r="A11" s="4" t="n">
        <v>7</v>
      </c>
      <c r="B11" s="10" t="inlineStr">
        <is>
          <t>B. Khung ứng dụng</t>
        </is>
      </c>
      <c r="C11" s="10" t="inlineStr">
        <is>
          <t>AppShell: Navbar + menu theo vai trò + bộ chọn kho + chuông + nút sáng/tối</t>
        </is>
      </c>
      <c r="D11" s="10" t="inlineStr">
        <is>
          <t>(shell /app/**)</t>
        </is>
      </c>
      <c r="E11" s="10" t="inlineStr">
        <is>
          <t>PUB-01, CHUNG-01, CHUNG-07</t>
        </is>
      </c>
      <c r="F11" s="10" t="inlineStr">
        <is>
          <t>#7, #12</t>
        </is>
      </c>
      <c r="G11" s="10" t="inlineStr">
        <is>
          <t>Tất cả</t>
        </is>
      </c>
      <c r="H11" s="4" t="inlineStr">
        <is>
          <t>P1</t>
        </is>
      </c>
      <c r="I11" s="4" t="inlineStr">
        <is>
          <t>M1</t>
        </is>
      </c>
      <c r="J11" s="11" t="inlineStr">
        <is>
          <t>☐</t>
        </is>
      </c>
      <c r="K11" s="11" t="inlineStr">
        <is>
          <t>☐</t>
        </is>
      </c>
      <c r="L11" s="11" t="inlineStr">
        <is>
          <t>☐</t>
        </is>
      </c>
      <c r="M11" s="11" t="inlineStr">
        <is>
          <t>☐</t>
        </is>
      </c>
      <c r="N11" s="4">
        <f>IF(COUNTIF(J11:M11,"☑")=4,"✔ Xong",COUNTIF(J11:M11,"☑")&amp;"/4")</f>
        <v/>
      </c>
      <c r="O11" s="12" t="n"/>
      <c r="P11" s="10" t="inlineStr">
        <is>
          <t>Logo to, chữ navbar size 20</t>
        </is>
      </c>
    </row>
    <row r="12">
      <c r="A12" s="4" t="n">
        <v>8</v>
      </c>
      <c r="B12" s="10" t="inlineStr">
        <is>
          <t>B. Khung ứng dụng</t>
        </is>
      </c>
      <c r="C12" s="10" t="inlineStr">
        <is>
          <t>Pop-up cảnh báo khi vào trang</t>
        </is>
      </c>
      <c r="D12" s="10" t="inlineStr">
        <is>
          <t>(dialog)</t>
        </is>
      </c>
      <c r="E12" s="10" t="inlineStr">
        <is>
          <t>CHUNG-04</t>
        </is>
      </c>
      <c r="F12" s="10" t="inlineStr">
        <is>
          <t>#8</t>
        </is>
      </c>
      <c r="G12" s="10" t="inlineStr">
        <is>
          <t>Tất cả</t>
        </is>
      </c>
      <c r="H12" s="4" t="inlineStr">
        <is>
          <t>P1</t>
        </is>
      </c>
      <c r="I12" s="4" t="inlineStr">
        <is>
          <t>M5</t>
        </is>
      </c>
      <c r="J12" s="11" t="inlineStr">
        <is>
          <t>☐</t>
        </is>
      </c>
      <c r="K12" s="11" t="inlineStr">
        <is>
          <t>☐</t>
        </is>
      </c>
      <c r="L12" s="11" t="inlineStr">
        <is>
          <t>☐</t>
        </is>
      </c>
      <c r="M12" s="11" t="inlineStr">
        <is>
          <t>☐</t>
        </is>
      </c>
      <c r="N12" s="4">
        <f>IF(COUNTIF(J12:M12,"☑")=4,"✔ Xong",COUNTIF(J12:M12,"☑")&amp;"/4")</f>
        <v/>
      </c>
      <c r="O12" s="12" t="n"/>
      <c r="P12" s="10" t="inlineStr">
        <is>
          <t>Badge số chưa đọc phải nổi bật</t>
        </is>
      </c>
    </row>
    <row r="13">
      <c r="A13" s="4" t="n">
        <v>9</v>
      </c>
      <c r="B13" s="10" t="inlineStr">
        <is>
          <t>B. Khung ứng dụng</t>
        </is>
      </c>
      <c r="C13" s="10" t="inlineStr">
        <is>
          <t>Trung tâm cảnh báo</t>
        </is>
      </c>
      <c r="D13" s="10" t="inlineStr">
        <is>
          <t>/app/alerts</t>
        </is>
      </c>
      <c r="E13" s="10" t="inlineStr">
        <is>
          <t>CHUNG-04</t>
        </is>
      </c>
      <c r="F13" s="10" t="inlineStr">
        <is>
          <t>#8</t>
        </is>
      </c>
      <c r="G13" s="10" t="inlineStr">
        <is>
          <t>Tất cả</t>
        </is>
      </c>
      <c r="H13" s="4" t="inlineStr">
        <is>
          <t>P1</t>
        </is>
      </c>
      <c r="I13" s="4" t="inlineStr">
        <is>
          <t>M5</t>
        </is>
      </c>
      <c r="J13" s="11" t="inlineStr">
        <is>
          <t>☐</t>
        </is>
      </c>
      <c r="K13" s="11" t="inlineStr">
        <is>
          <t>☐</t>
        </is>
      </c>
      <c r="L13" s="11" t="inlineStr">
        <is>
          <t>☐</t>
        </is>
      </c>
      <c r="M13" s="11" t="inlineStr">
        <is>
          <t>☐</t>
        </is>
      </c>
      <c r="N13" s="4">
        <f>IF(COUNTIF(J13:M13,"☑")=4,"✔ Xong",COUNTIF(J13:M13,"☑")&amp;"/4")</f>
        <v/>
      </c>
      <c r="O13" s="12" t="n"/>
      <c r="P13" s="10" t="inlineStr">
        <is>
          <t>4 loại: LOW_STOCK, RENTAL_EXPIRING, RENTAL_OVERDUE, PENDING_APPROVAL</t>
        </is>
      </c>
    </row>
    <row r="14">
      <c r="A14" s="4" t="n">
        <v>10</v>
      </c>
      <c r="B14" s="10" t="inlineStr">
        <is>
          <t>B. Khung ứng dụng</t>
        </is>
      </c>
      <c r="C14" s="10" t="inlineStr">
        <is>
          <t>Hồ sơ cá nhân</t>
        </is>
      </c>
      <c r="D14" s="10" t="inlineStr">
        <is>
          <t>/app/profile</t>
        </is>
      </c>
      <c r="E14" s="10" t="inlineStr">
        <is>
          <t>CHUNG-01</t>
        </is>
      </c>
      <c r="F14" s="10" t="inlineStr"/>
      <c r="G14" s="10" t="inlineStr">
        <is>
          <t>Tất cả</t>
        </is>
      </c>
      <c r="H14" s="4" t="inlineStr">
        <is>
          <t>P1</t>
        </is>
      </c>
      <c r="I14" s="4" t="inlineStr">
        <is>
          <t>M1</t>
        </is>
      </c>
      <c r="J14" s="11" t="inlineStr">
        <is>
          <t>☐</t>
        </is>
      </c>
      <c r="K14" s="11" t="inlineStr">
        <is>
          <t>☐</t>
        </is>
      </c>
      <c r="L14" s="11" t="inlineStr">
        <is>
          <t>☐</t>
        </is>
      </c>
      <c r="M14" s="11" t="inlineStr">
        <is>
          <t>☐</t>
        </is>
      </c>
      <c r="N14" s="4">
        <f>IF(COUNTIF(J14:M14,"☑")=4,"✔ Xong",COUNTIF(J14:M14,"☑")&amp;"/4")</f>
        <v/>
      </c>
      <c r="O14" s="12" t="n"/>
      <c r="P14" s="10" t="inlineStr"/>
    </row>
    <row r="15">
      <c r="A15" s="4" t="n">
        <v>11</v>
      </c>
      <c r="B15" s="10" t="inlineStr">
        <is>
          <t>B. Khung ứng dụng</t>
        </is>
      </c>
      <c r="C15" s="10" t="inlineStr">
        <is>
          <t>Đổi mật khẩu</t>
        </is>
      </c>
      <c r="D15" s="10" t="inlineStr">
        <is>
          <t>/app/profile/password</t>
        </is>
      </c>
      <c r="E15" s="10" t="inlineStr">
        <is>
          <t>CHUNG-02</t>
        </is>
      </c>
      <c r="F15" s="10" t="inlineStr"/>
      <c r="G15" s="10" t="inlineStr">
        <is>
          <t>Tất cả</t>
        </is>
      </c>
      <c r="H15" s="4" t="inlineStr">
        <is>
          <t>P1</t>
        </is>
      </c>
      <c r="I15" s="4" t="inlineStr">
        <is>
          <t>M1</t>
        </is>
      </c>
      <c r="J15" s="11" t="inlineStr">
        <is>
          <t>☐</t>
        </is>
      </c>
      <c r="K15" s="11" t="inlineStr">
        <is>
          <t>☐</t>
        </is>
      </c>
      <c r="L15" s="11" t="inlineStr">
        <is>
          <t>☐</t>
        </is>
      </c>
      <c r="M15" s="11" t="inlineStr">
        <is>
          <t>☐</t>
        </is>
      </c>
      <c r="N15" s="4">
        <f>IF(COUNTIF(J15:M15,"☑")=4,"✔ Xong",COUNTIF(J15:M15,"☑")&amp;"/4")</f>
        <v/>
      </c>
      <c r="O15" s="12" t="n"/>
      <c r="P15" s="10" t="inlineStr"/>
    </row>
    <row r="16">
      <c r="A16" s="4" t="n">
        <v>12</v>
      </c>
      <c r="B16" s="10" t="inlineStr">
        <is>
          <t>B. Khung ứng dụng</t>
        </is>
      </c>
      <c r="C16" s="10" t="inlineStr">
        <is>
          <t>Dashboard</t>
        </is>
      </c>
      <c r="D16" s="10" t="inlineStr">
        <is>
          <t>/app/dashboard</t>
        </is>
      </c>
      <c r="E16" s="10" t="inlineStr">
        <is>
          <t>CHUNG-03</t>
        </is>
      </c>
      <c r="F16" s="10" t="inlineStr">
        <is>
          <t>#5</t>
        </is>
      </c>
      <c r="G16" s="10" t="inlineStr">
        <is>
          <t>Tất cả</t>
        </is>
      </c>
      <c r="H16" s="4" t="inlineStr">
        <is>
          <t>P1</t>
        </is>
      </c>
      <c r="I16" s="4" t="inlineStr">
        <is>
          <t>M5</t>
        </is>
      </c>
      <c r="J16" s="11" t="inlineStr">
        <is>
          <t>☐</t>
        </is>
      </c>
      <c r="K16" s="11" t="inlineStr">
        <is>
          <t>☐</t>
        </is>
      </c>
      <c r="L16" s="11" t="inlineStr">
        <is>
          <t>☐</t>
        </is>
      </c>
      <c r="M16" s="11" t="inlineStr">
        <is>
          <t>☐</t>
        </is>
      </c>
      <c r="N16" s="4">
        <f>IF(COUNTIF(J16:M16,"☑")=4,"✔ Xong",COUNTIF(J16:M16,"☑")&amp;"/4")</f>
        <v/>
      </c>
      <c r="O16" s="12" t="n"/>
      <c r="P16" s="10" t="inlineStr">
        <is>
          <t>Biểu đồ nhập/xuất đặt đầu trang</t>
        </is>
      </c>
    </row>
    <row r="17">
      <c r="A17" s="4" t="n">
        <v>13</v>
      </c>
      <c r="B17" s="10" t="inlineStr">
        <is>
          <t>B. Khung ứng dụng</t>
        </is>
      </c>
      <c r="C17" s="10" t="inlineStr">
        <is>
          <t>Trang lỗi 403 / 404</t>
        </is>
      </c>
      <c r="D17" s="10" t="inlineStr">
        <is>
          <t>/403, /404</t>
        </is>
      </c>
      <c r="E17" s="10" t="inlineStr">
        <is>
          <t>PUB-01</t>
        </is>
      </c>
      <c r="F17" s="10" t="inlineStr"/>
      <c r="G17" s="10" t="inlineStr">
        <is>
          <t>Tất cả</t>
        </is>
      </c>
      <c r="H17" s="4" t="inlineStr">
        <is>
          <t>P1</t>
        </is>
      </c>
      <c r="I17" s="4" t="inlineStr">
        <is>
          <t>M1</t>
        </is>
      </c>
      <c r="J17" s="11" t="inlineStr">
        <is>
          <t>☐</t>
        </is>
      </c>
      <c r="K17" s="11" t="inlineStr">
        <is>
          <t>☐</t>
        </is>
      </c>
      <c r="L17" s="11" t="inlineStr">
        <is>
          <t>☐</t>
        </is>
      </c>
      <c r="M17" s="11" t="inlineStr">
        <is>
          <t>☐</t>
        </is>
      </c>
      <c r="N17" s="4">
        <f>IF(COUNTIF(J17:M17,"☑")=4,"✔ Xong",COUNTIF(J17:M17,"☑")&amp;"/4")</f>
        <v/>
      </c>
      <c r="O17" s="12" t="n"/>
      <c r="P17" s="10" t="inlineStr"/>
    </row>
    <row r="18">
      <c r="A18" s="4" t="n">
        <v>14</v>
      </c>
      <c r="B18" s="10" t="inlineStr">
        <is>
          <t>C. Danh mục</t>
        </is>
      </c>
      <c r="C18" s="10" t="inlineStr">
        <is>
          <t>Sản phẩm - danh sách</t>
        </is>
      </c>
      <c r="D18" s="10" t="inlineStr">
        <is>
          <t>/app/products</t>
        </is>
      </c>
      <c r="E18" s="10" t="inlineStr">
        <is>
          <t>TK-01</t>
        </is>
      </c>
      <c r="F18" s="10" t="inlineStr">
        <is>
          <t>#1, #13</t>
        </is>
      </c>
      <c r="G18" s="10" t="inlineStr">
        <is>
          <t>TK, QL (KT, BH xem)</t>
        </is>
      </c>
      <c r="H18" s="4" t="inlineStr">
        <is>
          <t>P1</t>
        </is>
      </c>
      <c r="I18" s="4" t="inlineStr">
        <is>
          <t>M2</t>
        </is>
      </c>
      <c r="J18" s="11" t="inlineStr">
        <is>
          <t>☐</t>
        </is>
      </c>
      <c r="K18" s="11" t="inlineStr">
        <is>
          <t>☐</t>
        </is>
      </c>
      <c r="L18" s="11" t="inlineStr">
        <is>
          <t>☐</t>
        </is>
      </c>
      <c r="M18" s="11" t="inlineStr">
        <is>
          <t>☐</t>
        </is>
      </c>
      <c r="N18" s="4">
        <f>IF(COUNTIF(J18:M18,"☑")=4,"✔ Xong",COUNTIF(J18:M18,"☑")&amp;"/4")</f>
        <v/>
      </c>
      <c r="O18" s="12" t="n"/>
      <c r="P18" s="10" t="inlineStr"/>
    </row>
    <row r="19">
      <c r="A19" s="4" t="n">
        <v>15</v>
      </c>
      <c r="B19" s="10" t="inlineStr">
        <is>
          <t>C. Danh mục</t>
        </is>
      </c>
      <c r="C19" s="10" t="inlineStr">
        <is>
          <t>Sản phẩm - form thêm/sửa</t>
        </is>
      </c>
      <c r="D19" s="10" t="inlineStr">
        <is>
          <t>/app/products/new, /:id/edit</t>
        </is>
      </c>
      <c r="E19" s="10" t="inlineStr">
        <is>
          <t>TK-01</t>
        </is>
      </c>
      <c r="F19" s="10" t="inlineStr"/>
      <c r="G19" s="10" t="inlineStr">
        <is>
          <t>TK, QL</t>
        </is>
      </c>
      <c r="H19" s="4" t="inlineStr">
        <is>
          <t>P1</t>
        </is>
      </c>
      <c r="I19" s="4" t="inlineStr">
        <is>
          <t>M2</t>
        </is>
      </c>
      <c r="J19" s="11" t="inlineStr">
        <is>
          <t>☐</t>
        </is>
      </c>
      <c r="K19" s="11" t="inlineStr">
        <is>
          <t>☐</t>
        </is>
      </c>
      <c r="L19" s="11" t="inlineStr">
        <is>
          <t>☐</t>
        </is>
      </c>
      <c r="M19" s="11" t="inlineStr">
        <is>
          <t>☐</t>
        </is>
      </c>
      <c r="N19" s="4">
        <f>IF(COUNTIF(J19:M19,"☑")=4,"✔ Xong",COUNTIF(J19:M19,"☑")&amp;"/4")</f>
        <v/>
      </c>
      <c r="O19" s="12" t="n"/>
      <c r="P19" s="10" t="inlineStr">
        <is>
          <t>Cờ is_serializable, min_stock_level</t>
        </is>
      </c>
    </row>
    <row r="20">
      <c r="A20" s="4" t="n">
        <v>16</v>
      </c>
      <c r="B20" s="10" t="inlineStr">
        <is>
          <t>C. Danh mục</t>
        </is>
      </c>
      <c r="C20" s="10" t="inlineStr">
        <is>
          <t>Sản phẩm - chi tiết (tab serial)</t>
        </is>
      </c>
      <c r="D20" s="10" t="inlineStr">
        <is>
          <t>/app/products/:id</t>
        </is>
      </c>
      <c r="E20" s="10" t="inlineStr">
        <is>
          <t>TK-01</t>
        </is>
      </c>
      <c r="F20" s="10" t="inlineStr"/>
      <c r="G20" s="10" t="inlineStr">
        <is>
          <t>TK, QL</t>
        </is>
      </c>
      <c r="H20" s="4" t="inlineStr">
        <is>
          <t>P1</t>
        </is>
      </c>
      <c r="I20" s="4" t="inlineStr">
        <is>
          <t>M2</t>
        </is>
      </c>
      <c r="J20" s="11" t="inlineStr">
        <is>
          <t>☐</t>
        </is>
      </c>
      <c r="K20" s="11" t="inlineStr">
        <is>
          <t>☐</t>
        </is>
      </c>
      <c r="L20" s="11" t="inlineStr">
        <is>
          <t>☐</t>
        </is>
      </c>
      <c r="M20" s="11" t="inlineStr">
        <is>
          <t>☐</t>
        </is>
      </c>
      <c r="N20" s="4">
        <f>IF(COUNTIF(J20:M20,"☑")=4,"✔ Xong",COUNTIF(J20:M20,"☑")&amp;"/4")</f>
        <v/>
      </c>
      <c r="O20" s="12" t="n"/>
      <c r="P20" s="10" t="inlineStr">
        <is>
          <t>Ảnh SP là P2 (TK-04)</t>
        </is>
      </c>
    </row>
    <row r="21">
      <c r="A21" s="4" t="n">
        <v>17</v>
      </c>
      <c r="B21" s="10" t="inlineStr">
        <is>
          <t>C. Danh mục</t>
        </is>
      </c>
      <c r="C21" s="10" t="inlineStr">
        <is>
          <t>Nhóm sản phẩm</t>
        </is>
      </c>
      <c r="D21" s="10" t="inlineStr">
        <is>
          <t>/app/product-groups</t>
        </is>
      </c>
      <c r="E21" s="10" t="inlineStr">
        <is>
          <t>QL-06</t>
        </is>
      </c>
      <c r="F21" s="10" t="inlineStr"/>
      <c r="G21" s="10" t="inlineStr">
        <is>
          <t>QL</t>
        </is>
      </c>
      <c r="H21" s="4" t="inlineStr">
        <is>
          <t>P1</t>
        </is>
      </c>
      <c r="I21" s="4" t="inlineStr">
        <is>
          <t>M2</t>
        </is>
      </c>
      <c r="J21" s="11" t="inlineStr">
        <is>
          <t>☐</t>
        </is>
      </c>
      <c r="K21" s="11" t="inlineStr">
        <is>
          <t>☐</t>
        </is>
      </c>
      <c r="L21" s="11" t="inlineStr">
        <is>
          <t>☐</t>
        </is>
      </c>
      <c r="M21" s="11" t="inlineStr">
        <is>
          <t>☐</t>
        </is>
      </c>
      <c r="N21" s="4">
        <f>IF(COUNTIF(J21:M21,"☑")=4,"✔ Xong",COUNTIF(J21:M21,"☑")&amp;"/4")</f>
        <v/>
      </c>
      <c r="O21" s="12" t="n"/>
      <c r="P21" s="10" t="inlineStr">
        <is>
          <t>Nhóm còn SP không xoá được (409)</t>
        </is>
      </c>
    </row>
    <row r="22">
      <c r="A22" s="4" t="n">
        <v>18</v>
      </c>
      <c r="B22" s="10" t="inlineStr">
        <is>
          <t>C. Danh mục</t>
        </is>
      </c>
      <c r="C22" s="10" t="inlineStr">
        <is>
          <t>Nhà cung cấp - danh sách</t>
        </is>
      </c>
      <c r="D22" s="10" t="inlineStr">
        <is>
          <t>/app/suppliers</t>
        </is>
      </c>
      <c r="E22" s="10" t="inlineStr">
        <is>
          <t>TK-03</t>
        </is>
      </c>
      <c r="F22" s="10" t="inlineStr">
        <is>
          <t>#1, #13</t>
        </is>
      </c>
      <c r="G22" s="10" t="inlineStr">
        <is>
          <t>TK, QL (KT xem)</t>
        </is>
      </c>
      <c r="H22" s="4" t="inlineStr">
        <is>
          <t>P1</t>
        </is>
      </c>
      <c r="I22" s="4" t="inlineStr">
        <is>
          <t>M2</t>
        </is>
      </c>
      <c r="J22" s="11" t="inlineStr">
        <is>
          <t>☐</t>
        </is>
      </c>
      <c r="K22" s="11" t="inlineStr">
        <is>
          <t>☐</t>
        </is>
      </c>
      <c r="L22" s="11" t="inlineStr">
        <is>
          <t>☐</t>
        </is>
      </c>
      <c r="M22" s="11" t="inlineStr">
        <is>
          <t>☐</t>
        </is>
      </c>
      <c r="N22" s="4">
        <f>IF(COUNTIF(J22:M22,"☑")=4,"✔ Xong",COUNTIF(J22:M22,"☑")&amp;"/4")</f>
        <v/>
      </c>
      <c r="O22" s="12" t="n"/>
      <c r="P22" s="10" t="inlineStr"/>
    </row>
    <row r="23">
      <c r="A23" s="4" t="n">
        <v>19</v>
      </c>
      <c r="B23" s="10" t="inlineStr">
        <is>
          <t>C. Danh mục</t>
        </is>
      </c>
      <c r="C23" s="10" t="inlineStr">
        <is>
          <t>Nhà cung cấp - form thêm/sửa</t>
        </is>
      </c>
      <c r="D23" s="10" t="inlineStr">
        <is>
          <t>/app/suppliers/new, /:id/edit</t>
        </is>
      </c>
      <c r="E23" s="10" t="inlineStr">
        <is>
          <t>TK-03</t>
        </is>
      </c>
      <c r="F23" s="10" t="inlineStr"/>
      <c r="G23" s="10" t="inlineStr">
        <is>
          <t>TK, QL</t>
        </is>
      </c>
      <c r="H23" s="4" t="inlineStr">
        <is>
          <t>P1</t>
        </is>
      </c>
      <c r="I23" s="4" t="inlineStr">
        <is>
          <t>M2</t>
        </is>
      </c>
      <c r="J23" s="11" t="inlineStr">
        <is>
          <t>☐</t>
        </is>
      </c>
      <c r="K23" s="11" t="inlineStr">
        <is>
          <t>☐</t>
        </is>
      </c>
      <c r="L23" s="11" t="inlineStr">
        <is>
          <t>☐</t>
        </is>
      </c>
      <c r="M23" s="11" t="inlineStr">
        <is>
          <t>☐</t>
        </is>
      </c>
      <c r="N23" s="4">
        <f>IF(COUNTIF(J23:M23,"☑")=4,"✔ Xong",COUNTIF(J23:M23,"☑")&amp;"/4")</f>
        <v/>
      </c>
      <c r="O23" s="12" t="n"/>
      <c r="P23" s="10" t="inlineStr"/>
    </row>
    <row r="24">
      <c r="A24" s="4" t="n">
        <v>20</v>
      </c>
      <c r="B24" s="10" t="inlineStr">
        <is>
          <t>C. Danh mục</t>
        </is>
      </c>
      <c r="C24" s="10" t="inlineStr">
        <is>
          <t>Nhà cung cấp - chi tiết (lịch sử nhập)</t>
        </is>
      </c>
      <c r="D24" s="10" t="inlineStr">
        <is>
          <t>/app/suppliers/:id</t>
        </is>
      </c>
      <c r="E24" s="10" t="inlineStr">
        <is>
          <t>TK-03</t>
        </is>
      </c>
      <c r="F24" s="10" t="inlineStr"/>
      <c r="G24" s="10" t="inlineStr">
        <is>
          <t>TK, KT, QL</t>
        </is>
      </c>
      <c r="H24" s="4" t="inlineStr">
        <is>
          <t>P1</t>
        </is>
      </c>
      <c r="I24" s="4" t="inlineStr">
        <is>
          <t>M2</t>
        </is>
      </c>
      <c r="J24" s="11" t="inlineStr">
        <is>
          <t>☐</t>
        </is>
      </c>
      <c r="K24" s="11" t="inlineStr">
        <is>
          <t>☐</t>
        </is>
      </c>
      <c r="L24" s="11" t="inlineStr">
        <is>
          <t>☐</t>
        </is>
      </c>
      <c r="M24" s="11" t="inlineStr">
        <is>
          <t>☐</t>
        </is>
      </c>
      <c r="N24" s="4">
        <f>IF(COUNTIF(J24:M24,"☑")=4,"✔ Xong",COUNTIF(J24:M24,"☑")&amp;"/4")</f>
        <v/>
      </c>
      <c r="O24" s="12" t="n"/>
      <c r="P24" s="10" t="inlineStr"/>
    </row>
    <row r="25">
      <c r="A25" s="4" t="n">
        <v>21</v>
      </c>
      <c r="B25" s="10" t="inlineStr">
        <is>
          <t>C. Danh mục</t>
        </is>
      </c>
      <c r="C25" s="10" t="inlineStr">
        <is>
          <t>NCC - tab tài liệu đính kèm</t>
        </is>
      </c>
      <c r="D25" s="10" t="inlineStr">
        <is>
          <t>/app/suppliers/:id</t>
        </is>
      </c>
      <c r="E25" s="10" t="inlineStr">
        <is>
          <t>TK-04</t>
        </is>
      </c>
      <c r="F25" s="10" t="inlineStr"/>
      <c r="G25" s="10" t="inlineStr">
        <is>
          <t>TK, QL</t>
        </is>
      </c>
      <c r="H25" s="4" t="inlineStr">
        <is>
          <t>P2</t>
        </is>
      </c>
      <c r="I25" s="4" t="inlineStr">
        <is>
          <t>M6</t>
        </is>
      </c>
      <c r="J25" s="11" t="inlineStr">
        <is>
          <t>☐</t>
        </is>
      </c>
      <c r="K25" s="11" t="inlineStr">
        <is>
          <t>☐</t>
        </is>
      </c>
      <c r="L25" s="11" t="inlineStr">
        <is>
          <t>☐</t>
        </is>
      </c>
      <c r="M25" s="11" t="inlineStr">
        <is>
          <t>☐</t>
        </is>
      </c>
      <c r="N25" s="4">
        <f>IF(COUNTIF(J25:M25,"☑")=4,"✔ Xong",COUNTIF(J25:M25,"☑")&amp;"/4")</f>
        <v/>
      </c>
      <c r="O25" s="12" t="n"/>
      <c r="P25" s="10" t="inlineStr"/>
    </row>
    <row r="26">
      <c r="A26" s="4" t="n">
        <v>22</v>
      </c>
      <c r="B26" s="10" t="inlineStr">
        <is>
          <t>C. Danh mục</t>
        </is>
      </c>
      <c r="C26" s="10" t="inlineStr">
        <is>
          <t>NCC - tab tài khoản ngân hàng</t>
        </is>
      </c>
      <c r="D26" s="10" t="inlineStr">
        <is>
          <t>/app/suppliers/:id</t>
        </is>
      </c>
      <c r="E26" s="10" t="inlineStr">
        <is>
          <t>KT-08</t>
        </is>
      </c>
      <c r="F26" s="10" t="inlineStr"/>
      <c r="G26" s="10" t="inlineStr">
        <is>
          <t>KT, QL</t>
        </is>
      </c>
      <c r="H26" s="4" t="inlineStr">
        <is>
          <t>P2</t>
        </is>
      </c>
      <c r="I26" s="4" t="inlineStr">
        <is>
          <t>M6</t>
        </is>
      </c>
      <c r="J26" s="11" t="inlineStr">
        <is>
          <t>☐</t>
        </is>
      </c>
      <c r="K26" s="11" t="inlineStr">
        <is>
          <t>☐</t>
        </is>
      </c>
      <c r="L26" s="11" t="inlineStr">
        <is>
          <t>☐</t>
        </is>
      </c>
      <c r="M26" s="11" t="inlineStr">
        <is>
          <t>☐</t>
        </is>
      </c>
      <c r="N26" s="4">
        <f>IF(COUNTIF(J26:M26,"☑")=4,"✔ Xong",COUNTIF(J26:M26,"☑")&amp;"/4")</f>
        <v/>
      </c>
      <c r="O26" s="12" t="n"/>
      <c r="P26" s="10" t="inlineStr"/>
    </row>
    <row r="27">
      <c r="A27" s="4" t="n">
        <v>23</v>
      </c>
      <c r="B27" s="10" t="inlineStr">
        <is>
          <t>C. Danh mục</t>
        </is>
      </c>
      <c r="C27" s="10" t="inlineStr">
        <is>
          <t>Khách hàng - danh sách</t>
        </is>
      </c>
      <c r="D27" s="10" t="inlineStr">
        <is>
          <t>/app/customers</t>
        </is>
      </c>
      <c r="E27" s="10" t="inlineStr">
        <is>
          <t>BH-01</t>
        </is>
      </c>
      <c r="F27" s="10" t="inlineStr">
        <is>
          <t>#1, #13</t>
        </is>
      </c>
      <c r="G27" s="10" t="inlineStr">
        <is>
          <t>BH, QL</t>
        </is>
      </c>
      <c r="H27" s="4" t="inlineStr">
        <is>
          <t>P1</t>
        </is>
      </c>
      <c r="I27" s="4" t="inlineStr">
        <is>
          <t>M2</t>
        </is>
      </c>
      <c r="J27" s="11" t="inlineStr">
        <is>
          <t>☐</t>
        </is>
      </c>
      <c r="K27" s="11" t="inlineStr">
        <is>
          <t>☐</t>
        </is>
      </c>
      <c r="L27" s="11" t="inlineStr">
        <is>
          <t>☐</t>
        </is>
      </c>
      <c r="M27" s="11" t="inlineStr">
        <is>
          <t>☐</t>
        </is>
      </c>
      <c r="N27" s="4">
        <f>IF(COUNTIF(J27:M27,"☑")=4,"✔ Xong",COUNTIF(J27:M27,"☑")&amp;"/4")</f>
        <v/>
      </c>
      <c r="O27" s="12" t="n"/>
      <c r="P27" s="10" t="inlineStr"/>
    </row>
    <row r="28">
      <c r="A28" s="4" t="n">
        <v>24</v>
      </c>
      <c r="B28" s="10" t="inlineStr">
        <is>
          <t>C. Danh mục</t>
        </is>
      </c>
      <c r="C28" s="10" t="inlineStr">
        <is>
          <t>Khách hàng - form thêm/sửa</t>
        </is>
      </c>
      <c r="D28" s="10" t="inlineStr">
        <is>
          <t>/app/customers/new, /:id/edit</t>
        </is>
      </c>
      <c r="E28" s="10" t="inlineStr">
        <is>
          <t>BH-01</t>
        </is>
      </c>
      <c r="F28" s="10" t="inlineStr"/>
      <c r="G28" s="10" t="inlineStr">
        <is>
          <t>BH, QL</t>
        </is>
      </c>
      <c r="H28" s="4" t="inlineStr">
        <is>
          <t>P1</t>
        </is>
      </c>
      <c r="I28" s="4" t="inlineStr">
        <is>
          <t>M2</t>
        </is>
      </c>
      <c r="J28" s="11" t="inlineStr">
        <is>
          <t>☐</t>
        </is>
      </c>
      <c r="K28" s="11" t="inlineStr">
        <is>
          <t>☐</t>
        </is>
      </c>
      <c r="L28" s="11" t="inlineStr">
        <is>
          <t>☐</t>
        </is>
      </c>
      <c r="M28" s="11" t="inlineStr">
        <is>
          <t>☐</t>
        </is>
      </c>
      <c r="N28" s="4">
        <f>IF(COUNTIF(J28:M28,"☑")=4,"✔ Xong",COUNTIF(J28:M28,"☑")&amp;"/4")</f>
        <v/>
      </c>
      <c r="O28" s="12" t="n"/>
      <c r="P28" s="10" t="inlineStr">
        <is>
          <t>Phân biệt KH bán / KH thuê</t>
        </is>
      </c>
    </row>
    <row r="29">
      <c r="A29" s="4" t="n">
        <v>25</v>
      </c>
      <c r="B29" s="10" t="inlineStr">
        <is>
          <t>C. Danh mục</t>
        </is>
      </c>
      <c r="C29" s="10" t="inlineStr">
        <is>
          <t>Khách hàng - chi tiết + người nhận (dialog)</t>
        </is>
      </c>
      <c r="D29" s="10" t="inlineStr">
        <is>
          <t>/app/customers/:id</t>
        </is>
      </c>
      <c r="E29" s="10" t="inlineStr">
        <is>
          <t>BH-02</t>
        </is>
      </c>
      <c r="F29" s="10" t="inlineStr"/>
      <c r="G29" s="10" t="inlineStr">
        <is>
          <t>BH, QL</t>
        </is>
      </c>
      <c r="H29" s="4" t="inlineStr">
        <is>
          <t>P1</t>
        </is>
      </c>
      <c r="I29" s="4" t="inlineStr">
        <is>
          <t>M2</t>
        </is>
      </c>
      <c r="J29" s="11" t="inlineStr">
        <is>
          <t>☐</t>
        </is>
      </c>
      <c r="K29" s="11" t="inlineStr">
        <is>
          <t>☐</t>
        </is>
      </c>
      <c r="L29" s="11" t="inlineStr">
        <is>
          <t>☐</t>
        </is>
      </c>
      <c r="M29" s="11" t="inlineStr">
        <is>
          <t>☐</t>
        </is>
      </c>
      <c r="N29" s="4">
        <f>IF(COUNTIF(J29:M29,"☑")=4,"✔ Xong",COUNTIF(J29:M29,"☑")&amp;"/4")</f>
        <v/>
      </c>
      <c r="O29" s="12" t="n"/>
      <c r="P29" s="10" t="inlineStr">
        <is>
          <t>1 KH nhiều người nhận, 1 mặc định</t>
        </is>
      </c>
    </row>
    <row r="30">
      <c r="A30" s="4" t="n">
        <v>26</v>
      </c>
      <c r="B30" s="10" t="inlineStr">
        <is>
          <t>C. Danh mục</t>
        </is>
      </c>
      <c r="C30" s="10" t="inlineStr">
        <is>
          <t>Kho hàng + phân công nhân viên</t>
        </is>
      </c>
      <c r="D30" s="10" t="inlineStr">
        <is>
          <t>/app/warehouses</t>
        </is>
      </c>
      <c r="E30" s="10" t="inlineStr">
        <is>
          <t>QL-12, QT-07, CHUNG-07</t>
        </is>
      </c>
      <c r="F30" s="10" t="inlineStr"/>
      <c r="G30" s="10" t="inlineStr">
        <is>
          <t>QL, QT</t>
        </is>
      </c>
      <c r="H30" s="4" t="inlineStr">
        <is>
          <t>P1</t>
        </is>
      </c>
      <c r="I30" s="4" t="inlineStr">
        <is>
          <t>M2</t>
        </is>
      </c>
      <c r="J30" s="11" t="inlineStr">
        <is>
          <t>☐</t>
        </is>
      </c>
      <c r="K30" s="11" t="inlineStr">
        <is>
          <t>☐</t>
        </is>
      </c>
      <c r="L30" s="11" t="inlineStr">
        <is>
          <t>☐</t>
        </is>
      </c>
      <c r="M30" s="11" t="inlineStr">
        <is>
          <t>☐</t>
        </is>
      </c>
      <c r="N30" s="4">
        <f>IF(COUNTIF(J30:M30,"☑")=4,"✔ Xong",COUNTIF(J30:M30,"☑")&amp;"/4")</f>
        <v/>
      </c>
      <c r="O30" s="12" t="n"/>
      <c r="P30" s="10" t="inlineStr">
        <is>
          <t>ERD v6 — phân công kho cho user (QT-07) mở từ form người dùng</t>
        </is>
      </c>
    </row>
    <row r="31">
      <c r="A31" s="4" t="n">
        <v>27</v>
      </c>
      <c r="B31" s="10" t="inlineStr">
        <is>
          <t>D. Tồn kho</t>
        </is>
      </c>
      <c r="C31" s="10" t="inlineStr">
        <is>
          <t>Tồn kho - danh sách &amp; lọc</t>
        </is>
      </c>
      <c r="D31" s="10" t="inlineStr">
        <is>
          <t>/app/inventory</t>
        </is>
      </c>
      <c r="E31" s="10" t="inlineStr">
        <is>
          <t>TK-02, KT-02</t>
        </is>
      </c>
      <c r="F31" s="10" t="inlineStr">
        <is>
          <t>#1, #13</t>
        </is>
      </c>
      <c r="G31" s="10" t="inlineStr">
        <is>
          <t>TK, KT, QL</t>
        </is>
      </c>
      <c r="H31" s="4" t="inlineStr">
        <is>
          <t>P1</t>
        </is>
      </c>
      <c r="I31" s="4" t="inlineStr">
        <is>
          <t>M2</t>
        </is>
      </c>
      <c r="J31" s="11" t="inlineStr">
        <is>
          <t>☐</t>
        </is>
      </c>
      <c r="K31" s="11" t="inlineStr">
        <is>
          <t>☐</t>
        </is>
      </c>
      <c r="L31" s="11" t="inlineStr">
        <is>
          <t>☐</t>
        </is>
      </c>
      <c r="M31" s="11" t="inlineStr">
        <is>
          <t>☐</t>
        </is>
      </c>
      <c r="N31" s="4">
        <f>IF(COUNTIF(J31:M31,"☑")=4,"✔ Xong",COUNTIF(J31:M31,"☑")&amp;"/4")</f>
        <v/>
      </c>
      <c r="O31" s="12" t="n"/>
      <c r="P31" s="10" t="inlineStr">
        <is>
          <t>Lọc SP/serial/trạng thái/ngày</t>
        </is>
      </c>
    </row>
    <row r="32">
      <c r="A32" s="4" t="n">
        <v>28</v>
      </c>
      <c r="B32" s="10" t="inlineStr">
        <is>
          <t>D. Tồn kho</t>
        </is>
      </c>
      <c r="C32" s="10" t="inlineStr">
        <is>
          <t>Tổng hợp tồn theo kho</t>
        </is>
      </c>
      <c r="D32" s="10" t="inlineStr">
        <is>
          <t>/app/inventory/summary</t>
        </is>
      </c>
      <c r="E32" s="10" t="inlineStr">
        <is>
          <t>TK-02</t>
        </is>
      </c>
      <c r="F32" s="10" t="inlineStr"/>
      <c r="G32" s="10" t="inlineStr">
        <is>
          <t>TK, KT, QL</t>
        </is>
      </c>
      <c r="H32" s="4" t="inlineStr">
        <is>
          <t>P1</t>
        </is>
      </c>
      <c r="I32" s="4" t="inlineStr">
        <is>
          <t>M2</t>
        </is>
      </c>
      <c r="J32" s="11" t="inlineStr">
        <is>
          <t>☐</t>
        </is>
      </c>
      <c r="K32" s="11" t="inlineStr">
        <is>
          <t>☐</t>
        </is>
      </c>
      <c r="L32" s="11" t="inlineStr">
        <is>
          <t>☐</t>
        </is>
      </c>
      <c r="M32" s="11" t="inlineStr">
        <is>
          <t>☐</t>
        </is>
      </c>
      <c r="N32" s="4">
        <f>IF(COUNTIF(J32:M32,"☑")=4,"✔ Xong",COUNTIF(J32:M32,"☑")&amp;"/4")</f>
        <v/>
      </c>
      <c r="O32" s="12" t="n"/>
      <c r="P32" s="10" t="inlineStr"/>
    </row>
    <row r="33">
      <c r="A33" s="4" t="n">
        <v>29</v>
      </c>
      <c r="B33" s="10" t="inlineStr">
        <is>
          <t>D. Tồn kho</t>
        </is>
      </c>
      <c r="C33" s="10" t="inlineStr">
        <is>
          <t>Hàng dưới ngưỡng</t>
        </is>
      </c>
      <c r="D33" s="10" t="inlineStr">
        <is>
          <t>/app/inventory/low-stock</t>
        </is>
      </c>
      <c r="E33" s="10" t="inlineStr">
        <is>
          <t>TK-02</t>
        </is>
      </c>
      <c r="F33" s="10" t="inlineStr"/>
      <c r="G33" s="10" t="inlineStr">
        <is>
          <t>TK, QL</t>
        </is>
      </c>
      <c r="H33" s="4" t="inlineStr">
        <is>
          <t>P1</t>
        </is>
      </c>
      <c r="I33" s="4" t="inlineStr">
        <is>
          <t>M2</t>
        </is>
      </c>
      <c r="J33" s="11" t="inlineStr">
        <is>
          <t>☐</t>
        </is>
      </c>
      <c r="K33" s="11" t="inlineStr">
        <is>
          <t>☐</t>
        </is>
      </c>
      <c r="L33" s="11" t="inlineStr">
        <is>
          <t>☐</t>
        </is>
      </c>
      <c r="M33" s="11" t="inlineStr">
        <is>
          <t>☐</t>
        </is>
      </c>
      <c r="N33" s="4">
        <f>IF(COUNTIF(J33:M33,"☑")=4,"✔ Xong",COUNTIF(J33:M33,"☑")&amp;"/4")</f>
        <v/>
      </c>
      <c r="O33" s="12" t="n"/>
      <c r="P33" s="10" t="inlineStr">
        <is>
          <t>Dòng đánh dấu đỏ</t>
        </is>
      </c>
    </row>
    <row r="34">
      <c r="A34" s="4" t="n">
        <v>30</v>
      </c>
      <c r="B34" s="10" t="inlineStr">
        <is>
          <t>E. Phiếu nhập</t>
        </is>
      </c>
      <c r="C34" s="10" t="inlineStr">
        <is>
          <t>Phiếu nhập - danh sách</t>
        </is>
      </c>
      <c r="D34" s="10" t="inlineStr">
        <is>
          <t>/app/import-receipts</t>
        </is>
      </c>
      <c r="E34" s="10" t="inlineStr">
        <is>
          <t>KT-01</t>
        </is>
      </c>
      <c r="F34" s="10" t="inlineStr">
        <is>
          <t>#1, #13</t>
        </is>
      </c>
      <c r="G34" s="10" t="inlineStr">
        <is>
          <t>TK, KT, QL</t>
        </is>
      </c>
      <c r="H34" s="4" t="inlineStr">
        <is>
          <t>P1</t>
        </is>
      </c>
      <c r="I34" s="4" t="inlineStr">
        <is>
          <t>M3</t>
        </is>
      </c>
      <c r="J34" s="11" t="inlineStr">
        <is>
          <t>☐</t>
        </is>
      </c>
      <c r="K34" s="11" t="inlineStr">
        <is>
          <t>☐</t>
        </is>
      </c>
      <c r="L34" s="11" t="inlineStr">
        <is>
          <t>☐</t>
        </is>
      </c>
      <c r="M34" s="11" t="inlineStr">
        <is>
          <t>☐</t>
        </is>
      </c>
      <c r="N34" s="4">
        <f>IF(COUNTIF(J34:M34,"☑")=4,"✔ Xong",COUNTIF(J34:M34,"☑")&amp;"/4")</f>
        <v/>
      </c>
      <c r="O34" s="12" t="n"/>
      <c r="P34" s="10" t="inlineStr">
        <is>
          <t>Lọc NCC, ngày, trạng thái</t>
        </is>
      </c>
    </row>
    <row r="35">
      <c r="A35" s="4" t="n">
        <v>31</v>
      </c>
      <c r="B35" s="10" t="inlineStr">
        <is>
          <t>E. Phiếu nhập</t>
        </is>
      </c>
      <c r="C35" s="10" t="inlineStr">
        <is>
          <t>Phiếu nhập - form tạo/sửa</t>
        </is>
      </c>
      <c r="D35" s="10" t="inlineStr">
        <is>
          <t>/app/import-receipts/new, /:id/edit</t>
        </is>
      </c>
      <c r="E35" s="10" t="inlineStr">
        <is>
          <t>TK-05, TK-06</t>
        </is>
      </c>
      <c r="F35" s="10" t="inlineStr"/>
      <c r="G35" s="10" t="inlineStr">
        <is>
          <t>TK</t>
        </is>
      </c>
      <c r="H35" s="4" t="inlineStr">
        <is>
          <t>P1</t>
        </is>
      </c>
      <c r="I35" s="4" t="inlineStr">
        <is>
          <t>M3</t>
        </is>
      </c>
      <c r="J35" s="11" t="inlineStr">
        <is>
          <t>☐</t>
        </is>
      </c>
      <c r="K35" s="11" t="inlineStr">
        <is>
          <t>☐</t>
        </is>
      </c>
      <c r="L35" s="11" t="inlineStr">
        <is>
          <t>☐</t>
        </is>
      </c>
      <c r="M35" s="11" t="inlineStr">
        <is>
          <t>☐</t>
        </is>
      </c>
      <c r="N35" s="4">
        <f>IF(COUNTIF(J35:M35,"☑")=4,"✔ Xong",COUNTIF(J35:M35,"☑")&amp;"/4")</f>
        <v/>
      </c>
      <c r="O35" s="12" t="n"/>
      <c r="P35" s="10" t="inlineStr">
        <is>
          <t>Nhiều dòng SP + serial, tự tính tổng</t>
        </is>
      </c>
    </row>
    <row r="36">
      <c r="A36" s="4" t="n">
        <v>32</v>
      </c>
      <c r="B36" s="10" t="inlineStr">
        <is>
          <t>E. Phiếu nhập</t>
        </is>
      </c>
      <c r="C36" s="10" t="inlineStr">
        <is>
          <t>Phiếu nhập - chi tiết (xác nhận / huỷ / in)</t>
        </is>
      </c>
      <c r="D36" s="10" t="inlineStr">
        <is>
          <t>/app/import-receipts/:id</t>
        </is>
      </c>
      <c r="E36" s="10" t="inlineStr">
        <is>
          <t>TK-07, TK-08, TK-09, QL-02</t>
        </is>
      </c>
      <c r="F36" s="10" t="inlineStr"/>
      <c r="G36" s="10" t="inlineStr">
        <is>
          <t>TK, KT, QL</t>
        </is>
      </c>
      <c r="H36" s="4" t="inlineStr">
        <is>
          <t>P1</t>
        </is>
      </c>
      <c r="I36" s="4" t="inlineStr">
        <is>
          <t>M3</t>
        </is>
      </c>
      <c r="J36" s="11" t="inlineStr">
        <is>
          <t>☐</t>
        </is>
      </c>
      <c r="K36" s="11" t="inlineStr">
        <is>
          <t>☐</t>
        </is>
      </c>
      <c r="L36" s="11" t="inlineStr">
        <is>
          <t>☐</t>
        </is>
      </c>
      <c r="M36" s="11" t="inlineStr">
        <is>
          <t>☐</t>
        </is>
      </c>
      <c r="N36" s="4">
        <f>IF(COUNTIF(J36:M36,"☑")=4,"✔ Xong",COUNTIF(J36:M36,"☑")&amp;"/4")</f>
        <v/>
      </c>
      <c r="O36" s="12" t="n"/>
      <c r="P36" s="10" t="inlineStr">
        <is>
          <t>In mẫu 1 (01-VT)</t>
        </is>
      </c>
    </row>
    <row r="37">
      <c r="A37" s="4" t="n">
        <v>33</v>
      </c>
      <c r="B37" s="10" t="inlineStr">
        <is>
          <t>F. Phiếu xuất</t>
        </is>
      </c>
      <c r="C37" s="10" t="inlineStr">
        <is>
          <t>Phiếu xuất - danh sách</t>
        </is>
      </c>
      <c r="D37" s="10" t="inlineStr">
        <is>
          <t>/app/export-receipts</t>
        </is>
      </c>
      <c r="E37" s="10" t="inlineStr">
        <is>
          <t>BH-06</t>
        </is>
      </c>
      <c r="F37" s="10" t="inlineStr">
        <is>
          <t>#1, #13</t>
        </is>
      </c>
      <c r="G37" s="10" t="inlineStr">
        <is>
          <t>BH, TK, KT, QL</t>
        </is>
      </c>
      <c r="H37" s="4" t="inlineStr">
        <is>
          <t>P1</t>
        </is>
      </c>
      <c r="I37" s="4" t="inlineStr">
        <is>
          <t>M3</t>
        </is>
      </c>
      <c r="J37" s="11" t="inlineStr">
        <is>
          <t>☐</t>
        </is>
      </c>
      <c r="K37" s="11" t="inlineStr">
        <is>
          <t>☐</t>
        </is>
      </c>
      <c r="L37" s="11" t="inlineStr">
        <is>
          <t>☐</t>
        </is>
      </c>
      <c r="M37" s="11" t="inlineStr">
        <is>
          <t>☐</t>
        </is>
      </c>
      <c r="N37" s="4">
        <f>IF(COUNTIF(J37:M37,"☑")=4,"✔ Xong",COUNTIF(J37:M37,"☑")&amp;"/4")</f>
        <v/>
      </c>
      <c r="O37" s="12" t="n"/>
      <c r="P37" s="10" t="inlineStr">
        <is>
          <t>Lọc trạng thái/KH/ngày</t>
        </is>
      </c>
    </row>
    <row r="38">
      <c r="A38" s="4" t="n">
        <v>34</v>
      </c>
      <c r="B38" s="10" t="inlineStr">
        <is>
          <t>F. Phiếu xuất</t>
        </is>
      </c>
      <c r="C38" s="10" t="inlineStr">
        <is>
          <t>Phiếu xuất - form tạo/sửa</t>
        </is>
      </c>
      <c r="D38" s="10" t="inlineStr">
        <is>
          <t>/app/export-receipts/new, /:id/edit</t>
        </is>
      </c>
      <c r="E38" s="10" t="inlineStr">
        <is>
          <t>BH-03, BH-04, TK-10</t>
        </is>
      </c>
      <c r="F38" s="10" t="inlineStr"/>
      <c r="G38" s="10" t="inlineStr">
        <is>
          <t>BH</t>
        </is>
      </c>
      <c r="H38" s="4" t="inlineStr">
        <is>
          <t>P1</t>
        </is>
      </c>
      <c r="I38" s="4" t="inlineStr">
        <is>
          <t>M3</t>
        </is>
      </c>
      <c r="J38" s="11" t="inlineStr">
        <is>
          <t>☐</t>
        </is>
      </c>
      <c r="K38" s="11" t="inlineStr">
        <is>
          <t>☐</t>
        </is>
      </c>
      <c r="L38" s="11" t="inlineStr">
        <is>
          <t>☐</t>
        </is>
      </c>
      <c r="M38" s="11" t="inlineStr">
        <is>
          <t>☐</t>
        </is>
      </c>
      <c r="N38" s="4">
        <f>IF(COUNTIF(J38:M38,"☑")=4,"✔ Xong",COUNTIF(J38:M38,"☑")&amp;"/4")</f>
        <v/>
      </c>
      <c r="O38" s="12" t="n"/>
      <c r="P38" s="10" t="inlineStr">
        <is>
          <t>Kiểm tra tồn realtime, chọn VAT</t>
        </is>
      </c>
    </row>
    <row r="39">
      <c r="A39" s="4" t="n">
        <v>35</v>
      </c>
      <c r="B39" s="10" t="inlineStr">
        <is>
          <t>F. Phiếu xuất</t>
        </is>
      </c>
      <c r="C39" s="10" t="inlineStr">
        <is>
          <t>Phiếu xuất - chi tiết (duyệt / hoàn tất xuất)</t>
        </is>
      </c>
      <c r="D39" s="10" t="inlineStr">
        <is>
          <t>/app/export-receipts/:id</t>
        </is>
      </c>
      <c r="E39" s="10" t="inlineStr">
        <is>
          <t>QL-01, TK-11</t>
        </is>
      </c>
      <c r="F39" s="10" t="inlineStr"/>
      <c r="G39" s="10" t="inlineStr">
        <is>
          <t>BH, TK, KT, QL</t>
        </is>
      </c>
      <c r="H39" s="4" t="inlineStr">
        <is>
          <t>P1</t>
        </is>
      </c>
      <c r="I39" s="4" t="inlineStr">
        <is>
          <t>M3</t>
        </is>
      </c>
      <c r="J39" s="11" t="inlineStr">
        <is>
          <t>☐</t>
        </is>
      </c>
      <c r="K39" s="11" t="inlineStr">
        <is>
          <t>☐</t>
        </is>
      </c>
      <c r="L39" s="11" t="inlineStr">
        <is>
          <t>☐</t>
        </is>
      </c>
      <c r="M39" s="11" t="inlineStr">
        <is>
          <t>☐</t>
        </is>
      </c>
      <c r="N39" s="4">
        <f>IF(COUNTIF(J39:M39,"☑")=4,"✔ Xong",COUNTIF(J39:M39,"☑")&amp;"/4")</f>
        <v/>
      </c>
      <c r="O39" s="12" t="n"/>
      <c r="P39" s="10" t="inlineStr">
        <is>
          <t>PENDING → CONFIRMED → EXPORTED</t>
        </is>
      </c>
    </row>
    <row r="40">
      <c r="A40" s="4" t="n">
        <v>36</v>
      </c>
      <c r="B40" s="10" t="inlineStr">
        <is>
          <t>F. Phiếu xuất</t>
        </is>
      </c>
      <c r="C40" s="10" t="inlineStr">
        <is>
          <t>Dialog ghi nhận thanh toán</t>
        </is>
      </c>
      <c r="D40" s="10" t="inlineStr">
        <is>
          <t>(dialog)</t>
        </is>
      </c>
      <c r="E40" s="10" t="inlineStr">
        <is>
          <t>KT-03</t>
        </is>
      </c>
      <c r="F40" s="10" t="inlineStr"/>
      <c r="G40" s="10" t="inlineStr">
        <is>
          <t>KT</t>
        </is>
      </c>
      <c r="H40" s="4" t="inlineStr">
        <is>
          <t>P1</t>
        </is>
      </c>
      <c r="I40" s="4" t="inlineStr">
        <is>
          <t>M3</t>
        </is>
      </c>
      <c r="J40" s="11" t="inlineStr">
        <is>
          <t>☐</t>
        </is>
      </c>
      <c r="K40" s="11" t="inlineStr">
        <is>
          <t>☐</t>
        </is>
      </c>
      <c r="L40" s="11" t="inlineStr">
        <is>
          <t>☐</t>
        </is>
      </c>
      <c r="M40" s="11" t="inlineStr">
        <is>
          <t>☐</t>
        </is>
      </c>
      <c r="N40" s="4">
        <f>IF(COUNTIF(J40:M40,"☑")=4,"✔ Xong",COUNTIF(J40:M40,"☑")&amp;"/4")</f>
        <v/>
      </c>
      <c r="O40" s="12" t="n"/>
      <c r="P40" s="10" t="inlineStr">
        <is>
          <t>Không vượt số còn lại; huỷ thay vì sửa</t>
        </is>
      </c>
    </row>
    <row r="41">
      <c r="A41" s="4" t="n">
        <v>37</v>
      </c>
      <c r="B41" s="10" t="inlineStr">
        <is>
          <t>F. Phiếu xuất</t>
        </is>
      </c>
      <c r="C41" s="10" t="inlineStr">
        <is>
          <t>In phiếu xuất / phiếu giao hàng</t>
        </is>
      </c>
      <c r="D41" s="10" t="inlineStr">
        <is>
          <t>(menu in)</t>
        </is>
      </c>
      <c r="E41" s="10" t="inlineStr">
        <is>
          <t>KT-04, BH-05, BH-13</t>
        </is>
      </c>
      <c r="F41" s="10" t="inlineStr"/>
      <c r="G41" s="10" t="inlineStr">
        <is>
          <t>BH, TK, KT</t>
        </is>
      </c>
      <c r="H41" s="4" t="inlineStr">
        <is>
          <t>P1</t>
        </is>
      </c>
      <c r="I41" s="4" t="inlineStr">
        <is>
          <t>M3</t>
        </is>
      </c>
      <c r="J41" s="11" t="inlineStr">
        <is>
          <t>☐</t>
        </is>
      </c>
      <c r="K41" s="11" t="inlineStr">
        <is>
          <t>☐</t>
        </is>
      </c>
      <c r="L41" s="11" t="inlineStr">
        <is>
          <t>☐</t>
        </is>
      </c>
      <c r="M41" s="11" t="inlineStr">
        <is>
          <t>☐</t>
        </is>
      </c>
      <c r="N41" s="4">
        <f>IF(COUNTIF(J41:M41,"☑")=4,"✔ Xong",COUNTIF(J41:M41,"☑")&amp;"/4")</f>
        <v/>
      </c>
      <c r="O41" s="12" t="n"/>
      <c r="P41" s="10" t="inlineStr">
        <is>
          <t>Mẫu 2 (02-VT), mẫu 3 (A5, không giá)</t>
        </is>
      </c>
    </row>
    <row r="42">
      <c r="A42" s="4" t="n">
        <v>38</v>
      </c>
      <c r="B42" s="10" t="inlineStr">
        <is>
          <t>G. Thuê / mượn</t>
        </is>
      </c>
      <c r="C42" s="10" t="inlineStr">
        <is>
          <t>Phiếu thuê/mượn - danh sách (tab RENT / LEND)</t>
        </is>
      </c>
      <c r="D42" s="10" t="inlineStr">
        <is>
          <t>/app/rentals</t>
        </is>
      </c>
      <c r="E42" s="10" t="inlineStr">
        <is>
          <t>BH-09</t>
        </is>
      </c>
      <c r="F42" s="10" t="inlineStr">
        <is>
          <t>#1, #13</t>
        </is>
      </c>
      <c r="G42" s="10" t="inlineStr">
        <is>
          <t>BH, TK, QL</t>
        </is>
      </c>
      <c r="H42" s="4" t="inlineStr">
        <is>
          <t>P1</t>
        </is>
      </c>
      <c r="I42" s="4" t="inlineStr">
        <is>
          <t>M4</t>
        </is>
      </c>
      <c r="J42" s="11" t="inlineStr">
        <is>
          <t>☐</t>
        </is>
      </c>
      <c r="K42" s="11" t="inlineStr">
        <is>
          <t>☐</t>
        </is>
      </c>
      <c r="L42" s="11" t="inlineStr">
        <is>
          <t>☐</t>
        </is>
      </c>
      <c r="M42" s="11" t="inlineStr">
        <is>
          <t>☐</t>
        </is>
      </c>
      <c r="N42" s="4">
        <f>IF(COUNTIF(J42:M42,"☑")=4,"✔ Xong",COUNTIF(J42:M42,"☑")&amp;"/4")</f>
        <v/>
      </c>
      <c r="O42" s="12" t="n"/>
      <c r="P42" s="10" t="inlineStr"/>
    </row>
    <row r="43">
      <c r="A43" s="4" t="n">
        <v>39</v>
      </c>
      <c r="B43" s="10" t="inlineStr">
        <is>
          <t>G. Thuê / mượn</t>
        </is>
      </c>
      <c r="C43" s="10" t="inlineStr">
        <is>
          <t>Phiếu thuê/mượn - form tạo/sửa</t>
        </is>
      </c>
      <c r="D43" s="10" t="inlineStr">
        <is>
          <t>/app/rentals/new, /:id/edit</t>
        </is>
      </c>
      <c r="E43" s="10" t="inlineStr">
        <is>
          <t>BH-07, BH-08</t>
        </is>
      </c>
      <c r="F43" s="10" t="inlineStr"/>
      <c r="G43" s="10" t="inlineStr">
        <is>
          <t>BH</t>
        </is>
      </c>
      <c r="H43" s="4" t="inlineStr">
        <is>
          <t>P1</t>
        </is>
      </c>
      <c r="I43" s="4" t="inlineStr">
        <is>
          <t>M4</t>
        </is>
      </c>
      <c r="J43" s="11" t="inlineStr">
        <is>
          <t>☐</t>
        </is>
      </c>
      <c r="K43" s="11" t="inlineStr">
        <is>
          <t>☐</t>
        </is>
      </c>
      <c r="L43" s="11" t="inlineStr">
        <is>
          <t>☐</t>
        </is>
      </c>
      <c r="M43" s="11" t="inlineStr">
        <is>
          <t>☐</t>
        </is>
      </c>
      <c r="N43" s="4">
        <f>IF(COUNTIF(J43:M43,"☑")=4,"✔ Xong",COUNTIF(J43:M43,"☑")&amp;"/4")</f>
        <v/>
      </c>
      <c r="O43" s="12" t="n"/>
      <c r="P43" s="10" t="inlineStr">
        <is>
          <t>LEND: không cọc, giá/ngày chỉ để tính phạt</t>
        </is>
      </c>
    </row>
    <row r="44">
      <c r="A44" s="4" t="n">
        <v>40</v>
      </c>
      <c r="B44" s="10" t="inlineStr">
        <is>
          <t>G. Thuê / mượn</t>
        </is>
      </c>
      <c r="C44" s="10" t="inlineStr">
        <is>
          <t>Phiếu thuê/mượn - chi tiết + in</t>
        </is>
      </c>
      <c r="D44" s="10" t="inlineStr">
        <is>
          <t>/app/rentals/:id</t>
        </is>
      </c>
      <c r="E44" s="10" t="inlineStr">
        <is>
          <t>BH-09, TK-16</t>
        </is>
      </c>
      <c r="F44" s="10" t="inlineStr"/>
      <c r="G44" s="10" t="inlineStr">
        <is>
          <t>BH, TK, QL</t>
        </is>
      </c>
      <c r="H44" s="4" t="inlineStr">
        <is>
          <t>P1</t>
        </is>
      </c>
      <c r="I44" s="4" t="inlineStr">
        <is>
          <t>M4</t>
        </is>
      </c>
      <c r="J44" s="11" t="inlineStr">
        <is>
          <t>☐</t>
        </is>
      </c>
      <c r="K44" s="11" t="inlineStr">
        <is>
          <t>☐</t>
        </is>
      </c>
      <c r="L44" s="11" t="inlineStr">
        <is>
          <t>☐</t>
        </is>
      </c>
      <c r="M44" s="11" t="inlineStr">
        <is>
          <t>☐</t>
        </is>
      </c>
      <c r="N44" s="4">
        <f>IF(COUNTIF(J44:M44,"☑")=4,"✔ Xong",COUNTIF(J44:M44,"☑")&amp;"/4")</f>
        <v/>
      </c>
      <c r="O44" s="12" t="n"/>
      <c r="P44" s="10" t="inlineStr">
        <is>
          <t>In mẫu 4</t>
        </is>
      </c>
    </row>
    <row r="45">
      <c r="A45" s="4" t="n">
        <v>41</v>
      </c>
      <c r="B45" s="10" t="inlineStr">
        <is>
          <t>G. Thuê / mượn</t>
        </is>
      </c>
      <c r="C45" s="10" t="inlineStr">
        <is>
          <t>Danh sách sắp hết hạn (7 ngày)</t>
        </is>
      </c>
      <c r="D45" s="10" t="inlineStr">
        <is>
          <t>/app/rentals/expiring</t>
        </is>
      </c>
      <c r="E45" s="10" t="inlineStr">
        <is>
          <t>BH-09</t>
        </is>
      </c>
      <c r="F45" s="10" t="inlineStr"/>
      <c r="G45" s="10" t="inlineStr">
        <is>
          <t>BH, QL</t>
        </is>
      </c>
      <c r="H45" s="4" t="inlineStr">
        <is>
          <t>P1</t>
        </is>
      </c>
      <c r="I45" s="4" t="inlineStr">
        <is>
          <t>M4</t>
        </is>
      </c>
      <c r="J45" s="11" t="inlineStr">
        <is>
          <t>☐</t>
        </is>
      </c>
      <c r="K45" s="11" t="inlineStr">
        <is>
          <t>☐</t>
        </is>
      </c>
      <c r="L45" s="11" t="inlineStr">
        <is>
          <t>☐</t>
        </is>
      </c>
      <c r="M45" s="11" t="inlineStr">
        <is>
          <t>☐</t>
        </is>
      </c>
      <c r="N45" s="4">
        <f>IF(COUNTIF(J45:M45,"☑")=4,"✔ Xong",COUNTIF(J45:M45,"☑")&amp;"/4")</f>
        <v/>
      </c>
      <c r="O45" s="12" t="n"/>
      <c r="P45" s="10" t="inlineStr"/>
    </row>
    <row r="46">
      <c r="A46" s="4" t="n">
        <v>42</v>
      </c>
      <c r="B46" s="10" t="inlineStr">
        <is>
          <t>G. Thuê / mượn</t>
        </is>
      </c>
      <c r="C46" s="10" t="inlineStr">
        <is>
          <t>Trả hàng thuê/mượn (tình trạng serial, phạt, hoàn cọc)</t>
        </is>
      </c>
      <c r="D46" s="10" t="inlineStr">
        <is>
          <t>/app/rentals/:id/return</t>
        </is>
      </c>
      <c r="E46" s="10" t="inlineStr">
        <is>
          <t>TK-12, BH-10</t>
        </is>
      </c>
      <c r="F46" s="10" t="inlineStr"/>
      <c r="G46" s="10" t="inlineStr">
        <is>
          <t>TK, BH</t>
        </is>
      </c>
      <c r="H46" s="4" t="inlineStr">
        <is>
          <t>P1</t>
        </is>
      </c>
      <c r="I46" s="4" t="inlineStr">
        <is>
          <t>M4</t>
        </is>
      </c>
      <c r="J46" s="11" t="inlineStr">
        <is>
          <t>☐</t>
        </is>
      </c>
      <c r="K46" s="11" t="inlineStr">
        <is>
          <t>☐</t>
        </is>
      </c>
      <c r="L46" s="11" t="inlineStr">
        <is>
          <t>☐</t>
        </is>
      </c>
      <c r="M46" s="11" t="inlineStr">
        <is>
          <t>☐</t>
        </is>
      </c>
      <c r="N46" s="4">
        <f>IF(COUNTIF(J46:M46,"☑")=4,"✔ Xong",COUNTIF(J46:M46,"☑")&amp;"/4")</f>
        <v/>
      </c>
      <c r="O46" s="12" t="n"/>
      <c r="P46" s="10" t="inlineStr">
        <is>
          <t>Phạt khi quá hạn ≥10 ngày</t>
        </is>
      </c>
    </row>
    <row r="47">
      <c r="A47" s="4" t="n">
        <v>43</v>
      </c>
      <c r="B47" s="10" t="inlineStr">
        <is>
          <t>G. Thuê / mượn</t>
        </is>
      </c>
      <c r="C47" s="10" t="inlineStr">
        <is>
          <t>Phiếu trả - danh sách &amp; chi tiết + in</t>
        </is>
      </c>
      <c r="D47" s="10" t="inlineStr">
        <is>
          <t>/app/rental-returns</t>
        </is>
      </c>
      <c r="E47" s="10" t="inlineStr">
        <is>
          <t>TK-12, TK-16</t>
        </is>
      </c>
      <c r="F47" s="10" t="inlineStr"/>
      <c r="G47" s="10" t="inlineStr">
        <is>
          <t>TK, BH, QL</t>
        </is>
      </c>
      <c r="H47" s="4" t="inlineStr">
        <is>
          <t>P1</t>
        </is>
      </c>
      <c r="I47" s="4" t="inlineStr">
        <is>
          <t>M4</t>
        </is>
      </c>
      <c r="J47" s="11" t="inlineStr">
        <is>
          <t>☐</t>
        </is>
      </c>
      <c r="K47" s="11" t="inlineStr">
        <is>
          <t>☐</t>
        </is>
      </c>
      <c r="L47" s="11" t="inlineStr">
        <is>
          <t>☐</t>
        </is>
      </c>
      <c r="M47" s="11" t="inlineStr">
        <is>
          <t>☐</t>
        </is>
      </c>
      <c r="N47" s="4">
        <f>IF(COUNTIF(J47:M47,"☑")=4,"✔ Xong",COUNTIF(J47:M47,"☑")&amp;"/4")</f>
        <v/>
      </c>
      <c r="O47" s="12" t="n"/>
      <c r="P47" s="10" t="inlineStr">
        <is>
          <t>In mẫu 5</t>
        </is>
      </c>
    </row>
    <row r="48">
      <c r="A48" s="4" t="n">
        <v>44</v>
      </c>
      <c r="B48" s="10" t="inlineStr">
        <is>
          <t>H. Kiểm kê &amp; điều chỉnh</t>
        </is>
      </c>
      <c r="C48" s="10" t="inlineStr">
        <is>
          <t>Kiểm kê - danh sách</t>
        </is>
      </c>
      <c r="D48" s="10" t="inlineStr">
        <is>
          <t>/app/stocktakes</t>
        </is>
      </c>
      <c r="E48" s="10" t="inlineStr">
        <is>
          <t>TK-13</t>
        </is>
      </c>
      <c r="F48" s="10" t="inlineStr">
        <is>
          <t>#1, #13</t>
        </is>
      </c>
      <c r="G48" s="10" t="inlineStr">
        <is>
          <t>TK, QL</t>
        </is>
      </c>
      <c r="H48" s="4" t="inlineStr">
        <is>
          <t>P1</t>
        </is>
      </c>
      <c r="I48" s="4" t="inlineStr">
        <is>
          <t>M4</t>
        </is>
      </c>
      <c r="J48" s="11" t="inlineStr">
        <is>
          <t>☐</t>
        </is>
      </c>
      <c r="K48" s="11" t="inlineStr">
        <is>
          <t>☐</t>
        </is>
      </c>
      <c r="L48" s="11" t="inlineStr">
        <is>
          <t>☐</t>
        </is>
      </c>
      <c r="M48" s="11" t="inlineStr">
        <is>
          <t>☐</t>
        </is>
      </c>
      <c r="N48" s="4">
        <f>IF(COUNTIF(J48:M48,"☑")=4,"✔ Xong",COUNTIF(J48:M48,"☑")&amp;"/4")</f>
        <v/>
      </c>
      <c r="O48" s="12" t="n"/>
      <c r="P48" s="10" t="inlineStr"/>
    </row>
    <row r="49">
      <c r="A49" s="4" t="n">
        <v>45</v>
      </c>
      <c r="B49" s="10" t="inlineStr">
        <is>
          <t>H. Kiểm kê &amp; điều chỉnh</t>
        </is>
      </c>
      <c r="C49" s="10" t="inlineStr">
        <is>
          <t>Kiểm kê - tạo phiếu</t>
        </is>
      </c>
      <c r="D49" s="10" t="inlineStr">
        <is>
          <t>/app/stocktakes/new</t>
        </is>
      </c>
      <c r="E49" s="10" t="inlineStr">
        <is>
          <t>TK-13</t>
        </is>
      </c>
      <c r="F49" s="10" t="inlineStr"/>
      <c r="G49" s="10" t="inlineStr">
        <is>
          <t>TK</t>
        </is>
      </c>
      <c r="H49" s="4" t="inlineStr">
        <is>
          <t>P1</t>
        </is>
      </c>
      <c r="I49" s="4" t="inlineStr">
        <is>
          <t>M4</t>
        </is>
      </c>
      <c r="J49" s="11" t="inlineStr">
        <is>
          <t>☐</t>
        </is>
      </c>
      <c r="K49" s="11" t="inlineStr">
        <is>
          <t>☐</t>
        </is>
      </c>
      <c r="L49" s="11" t="inlineStr">
        <is>
          <t>☐</t>
        </is>
      </c>
      <c r="M49" s="11" t="inlineStr">
        <is>
          <t>☐</t>
        </is>
      </c>
      <c r="N49" s="4">
        <f>IF(COUNTIF(J49:M49,"☑")=4,"✔ Xong",COUNTIF(J49:M49,"☑")&amp;"/4")</f>
        <v/>
      </c>
      <c r="O49" s="12" t="n"/>
      <c r="P49" s="10" t="inlineStr"/>
    </row>
    <row r="50">
      <c r="A50" s="4" t="n">
        <v>46</v>
      </c>
      <c r="B50" s="10" t="inlineStr">
        <is>
          <t>H. Kiểm kê &amp; điều chỉnh</t>
        </is>
      </c>
      <c r="C50" s="10" t="inlineStr">
        <is>
          <t>Kiểm kê - nhập số liệu thực tế</t>
        </is>
      </c>
      <c r="D50" s="10" t="inlineStr">
        <is>
          <t>/app/stocktakes/:id/count</t>
        </is>
      </c>
      <c r="E50" s="10" t="inlineStr">
        <is>
          <t>TK-13</t>
        </is>
      </c>
      <c r="F50" s="10" t="inlineStr"/>
      <c r="G50" s="10" t="inlineStr">
        <is>
          <t>TK</t>
        </is>
      </c>
      <c r="H50" s="4" t="inlineStr">
        <is>
          <t>P1</t>
        </is>
      </c>
      <c r="I50" s="4" t="inlineStr">
        <is>
          <t>M4</t>
        </is>
      </c>
      <c r="J50" s="11" t="inlineStr">
        <is>
          <t>☐</t>
        </is>
      </c>
      <c r="K50" s="11" t="inlineStr">
        <is>
          <t>☐</t>
        </is>
      </c>
      <c r="L50" s="11" t="inlineStr">
        <is>
          <t>☐</t>
        </is>
      </c>
      <c r="M50" s="11" t="inlineStr">
        <is>
          <t>☐</t>
        </is>
      </c>
      <c r="N50" s="4">
        <f>IF(COUNTIF(J50:M50,"☑")=4,"✔ Xong",COUNTIF(J50:M50,"☑")&amp;"/4")</f>
        <v/>
      </c>
      <c r="O50" s="12" t="n"/>
      <c r="P50" s="10" t="inlineStr">
        <is>
          <t>Tự tính chênh lệch, chặn số âm/bất thường</t>
        </is>
      </c>
    </row>
    <row r="51">
      <c r="A51" s="4" t="n">
        <v>47</v>
      </c>
      <c r="B51" s="10" t="inlineStr">
        <is>
          <t>H. Kiểm kê &amp; điều chỉnh</t>
        </is>
      </c>
      <c r="C51" s="10" t="inlineStr">
        <is>
          <t>Kiểm kê - chi tiết + chốt + in</t>
        </is>
      </c>
      <c r="D51" s="10" t="inlineStr">
        <is>
          <t>/app/stocktakes/:id</t>
        </is>
      </c>
      <c r="E51" s="10" t="inlineStr">
        <is>
          <t>QL-03, TK-16</t>
        </is>
      </c>
      <c r="F51" s="10" t="inlineStr"/>
      <c r="G51" s="10" t="inlineStr">
        <is>
          <t>TK, QL</t>
        </is>
      </c>
      <c r="H51" s="4" t="inlineStr">
        <is>
          <t>P1</t>
        </is>
      </c>
      <c r="I51" s="4" t="inlineStr">
        <is>
          <t>M4</t>
        </is>
      </c>
      <c r="J51" s="11" t="inlineStr">
        <is>
          <t>☐</t>
        </is>
      </c>
      <c r="K51" s="11" t="inlineStr">
        <is>
          <t>☐</t>
        </is>
      </c>
      <c r="L51" s="11" t="inlineStr">
        <is>
          <t>☐</t>
        </is>
      </c>
      <c r="M51" s="11" t="inlineStr">
        <is>
          <t>☐</t>
        </is>
      </c>
      <c r="N51" s="4">
        <f>IF(COUNTIF(J51:M51,"☑")=4,"✔ Xong",COUNTIF(J51:M51,"☑")&amp;"/4")</f>
        <v/>
      </c>
      <c r="O51" s="12" t="n"/>
      <c r="P51" s="10" t="inlineStr">
        <is>
          <t>In mẫu 6 (05-VT)</t>
        </is>
      </c>
    </row>
    <row r="52">
      <c r="A52" s="4" t="n">
        <v>48</v>
      </c>
      <c r="B52" s="10" t="inlineStr">
        <is>
          <t>H. Kiểm kê &amp; điều chỉnh</t>
        </is>
      </c>
      <c r="C52" s="10" t="inlineStr">
        <is>
          <t>Phiếu điều chỉnh - danh sách</t>
        </is>
      </c>
      <c r="D52" s="10" t="inlineStr">
        <is>
          <t>/app/adjustments</t>
        </is>
      </c>
      <c r="E52" s="10" t="inlineStr">
        <is>
          <t>KT-07</t>
        </is>
      </c>
      <c r="F52" s="10" t="inlineStr">
        <is>
          <t>#1, #13</t>
        </is>
      </c>
      <c r="G52" s="10" t="inlineStr">
        <is>
          <t>TK, KT, QL</t>
        </is>
      </c>
      <c r="H52" s="4" t="inlineStr">
        <is>
          <t>P1</t>
        </is>
      </c>
      <c r="I52" s="4" t="inlineStr">
        <is>
          <t>M4</t>
        </is>
      </c>
      <c r="J52" s="11" t="inlineStr">
        <is>
          <t>☐</t>
        </is>
      </c>
      <c r="K52" s="11" t="inlineStr">
        <is>
          <t>☐</t>
        </is>
      </c>
      <c r="L52" s="11" t="inlineStr">
        <is>
          <t>☐</t>
        </is>
      </c>
      <c r="M52" s="11" t="inlineStr">
        <is>
          <t>☐</t>
        </is>
      </c>
      <c r="N52" s="4">
        <f>IF(COUNTIF(J52:M52,"☑")=4,"✔ Xong",COUNTIF(J52:M52,"☑")&amp;"/4")</f>
        <v/>
      </c>
      <c r="O52" s="12" t="n"/>
      <c r="P52" s="10" t="inlineStr"/>
    </row>
    <row r="53">
      <c r="A53" s="4" t="n">
        <v>49</v>
      </c>
      <c r="B53" s="10" t="inlineStr">
        <is>
          <t>H. Kiểm kê &amp; điều chỉnh</t>
        </is>
      </c>
      <c r="C53" s="10" t="inlineStr">
        <is>
          <t>Kiểm kê đột xuất - chọn SP cần điều chỉnh</t>
        </is>
      </c>
      <c r="D53" s="10" t="inlineStr">
        <is>
          <t>/app/stocktakes/new?mode=adhoc</t>
        </is>
      </c>
      <c r="E53" s="10" t="inlineStr">
        <is>
          <t>TK-13</t>
        </is>
      </c>
      <c r="F53" s="10" t="inlineStr"/>
      <c r="G53" s="10" t="inlineStr">
        <is>
          <t>TK</t>
        </is>
      </c>
      <c r="H53" s="4" t="inlineStr">
        <is>
          <t>P1</t>
        </is>
      </c>
      <c r="I53" s="4" t="inlineStr">
        <is>
          <t>M4</t>
        </is>
      </c>
      <c r="J53" s="11" t="inlineStr">
        <is>
          <t>☐</t>
        </is>
      </c>
      <c r="K53" s="11" t="inlineStr">
        <is>
          <t>☐</t>
        </is>
      </c>
      <c r="L53" s="11" t="inlineStr">
        <is>
          <t>☐</t>
        </is>
      </c>
      <c r="M53" s="11" t="inlineStr">
        <is>
          <t>☐</t>
        </is>
      </c>
      <c r="N53" s="4">
        <f>IF(COUNTIF(J53:M53,"☑")=4,"✔ Xong",COUNTIF(J53:M53,"☑")&amp;"/4")</f>
        <v/>
      </c>
      <c r="O53" s="12" t="n"/>
      <c r="P53" s="10" t="inlineStr">
        <is>
          <t>Thay form điều chỉnh thủ công (ERD v6, G-14); bắt buộc nhập lý do</t>
        </is>
      </c>
    </row>
    <row r="54">
      <c r="A54" s="4" t="n">
        <v>50</v>
      </c>
      <c r="B54" s="10" t="inlineStr">
        <is>
          <t>H. Kiểm kê &amp; điều chỉnh</t>
        </is>
      </c>
      <c r="C54" s="10" t="inlineStr">
        <is>
          <t>Phiếu điều chỉnh - chi tiết + in (chỉ xem)</t>
        </is>
      </c>
      <c r="D54" s="10" t="inlineStr">
        <is>
          <t>/app/adjustments/:id</t>
        </is>
      </c>
      <c r="E54" s="10" t="inlineStr">
        <is>
          <t>KT-07, TK-16</t>
        </is>
      </c>
      <c r="F54" s="10" t="inlineStr"/>
      <c r="G54" s="10" t="inlineStr">
        <is>
          <t>TK, KT, QL</t>
        </is>
      </c>
      <c r="H54" s="4" t="inlineStr">
        <is>
          <t>P1</t>
        </is>
      </c>
      <c r="I54" s="4" t="inlineStr">
        <is>
          <t>M4</t>
        </is>
      </c>
      <c r="J54" s="11" t="inlineStr">
        <is>
          <t>☐</t>
        </is>
      </c>
      <c r="K54" s="11" t="inlineStr">
        <is>
          <t>☐</t>
        </is>
      </c>
      <c r="L54" s="11" t="inlineStr">
        <is>
          <t>☐</t>
        </is>
      </c>
      <c r="M54" s="11" t="inlineStr">
        <is>
          <t>☐</t>
        </is>
      </c>
      <c r="N54" s="4">
        <f>IF(COUNTIF(J54:M54,"☑")=4,"✔ Xong",COUNTIF(J54:M54,"☑")&amp;"/4")</f>
        <v/>
      </c>
      <c r="O54" s="12" t="n"/>
      <c r="P54" s="10" t="inlineStr">
        <is>
          <t>In mẫu 7; duyệt = chốt kiểm kê (QL-03)</t>
        </is>
      </c>
    </row>
    <row r="55">
      <c r="A55" s="4" t="n">
        <v>51</v>
      </c>
      <c r="B55" s="10" t="inlineStr">
        <is>
          <t>I. Chuyển kho</t>
        </is>
      </c>
      <c r="C55" s="10" t="inlineStr">
        <is>
          <t>Chuyển kho - danh sách / form / chi tiết</t>
        </is>
      </c>
      <c r="D55" s="10" t="inlineStr">
        <is>
          <t>/app/transfers</t>
        </is>
      </c>
      <c r="E55" s="10" t="inlineStr">
        <is>
          <t>TK-17</t>
        </is>
      </c>
      <c r="F55" s="10" t="inlineStr"/>
      <c r="G55" s="10" t="inlineStr">
        <is>
          <t>TK, QL</t>
        </is>
      </c>
      <c r="H55" s="4" t="inlineStr">
        <is>
          <t>P2</t>
        </is>
      </c>
      <c r="I55" s="4" t="inlineStr">
        <is>
          <t>M6</t>
        </is>
      </c>
      <c r="J55" s="11" t="inlineStr">
        <is>
          <t>☐</t>
        </is>
      </c>
      <c r="K55" s="11" t="inlineStr">
        <is>
          <t>☐</t>
        </is>
      </c>
      <c r="L55" s="11" t="inlineStr">
        <is>
          <t>☐</t>
        </is>
      </c>
      <c r="M55" s="11" t="inlineStr">
        <is>
          <t>☐</t>
        </is>
      </c>
      <c r="N55" s="4">
        <f>IF(COUNTIF(J55:M55,"☑")=4,"✔ Xong",COUNTIF(J55:M55,"☑")&amp;"/4")</f>
        <v/>
      </c>
      <c r="O55" s="12" t="n"/>
      <c r="P55" s="10" t="inlineStr">
        <is>
          <t>ERD v6 — chuyển kho để P2; in mẫu 11</t>
        </is>
      </c>
    </row>
    <row r="56">
      <c r="A56" s="4" t="n">
        <v>52</v>
      </c>
      <c r="B56" s="10" t="inlineStr">
        <is>
          <t>J. Báo cáo</t>
        </is>
      </c>
      <c r="C56" s="10" t="inlineStr">
        <is>
          <t>Báo cáo tồn kho</t>
        </is>
      </c>
      <c r="D56" s="10" t="inlineStr">
        <is>
          <t>/app/reports/inventory</t>
        </is>
      </c>
      <c r="E56" s="10" t="inlineStr">
        <is>
          <t>TK-15</t>
        </is>
      </c>
      <c r="F56" s="10" t="inlineStr"/>
      <c r="G56" s="10" t="inlineStr">
        <is>
          <t>TK, KT, QL</t>
        </is>
      </c>
      <c r="H56" s="4" t="inlineStr">
        <is>
          <t>P1</t>
        </is>
      </c>
      <c r="I56" s="4" t="inlineStr">
        <is>
          <t>M5</t>
        </is>
      </c>
      <c r="J56" s="11" t="inlineStr">
        <is>
          <t>☐</t>
        </is>
      </c>
      <c r="K56" s="11" t="inlineStr">
        <is>
          <t>☐</t>
        </is>
      </c>
      <c r="L56" s="11" t="inlineStr">
        <is>
          <t>☐</t>
        </is>
      </c>
      <c r="M56" s="11" t="inlineStr">
        <is>
          <t>☐</t>
        </is>
      </c>
      <c r="N56" s="4">
        <f>IF(COUNTIF(J56:M56,"☑")=4,"✔ Xong",COUNTIF(J56:M56,"☑")&amp;"/4")</f>
        <v/>
      </c>
      <c r="O56" s="12" t="n"/>
      <c r="P56" s="10" t="inlineStr">
        <is>
          <t>Xuất Excel/PDF</t>
        </is>
      </c>
    </row>
    <row r="57">
      <c r="A57" s="4" t="n">
        <v>53</v>
      </c>
      <c r="B57" s="10" t="inlineStr">
        <is>
          <t>J. Báo cáo</t>
        </is>
      </c>
      <c r="C57" s="10" t="inlineStr">
        <is>
          <t>Báo cáo nhập-xuất (theo NCC/KH/SP)</t>
        </is>
      </c>
      <c r="D57" s="10" t="inlineStr">
        <is>
          <t>/app/reports/import-export</t>
        </is>
      </c>
      <c r="E57" s="10" t="inlineStr">
        <is>
          <t>KT-05, QL-10</t>
        </is>
      </c>
      <c r="F57" s="10" t="inlineStr"/>
      <c r="G57" s="10" t="inlineStr">
        <is>
          <t>KT, QL</t>
        </is>
      </c>
      <c r="H57" s="4" t="inlineStr">
        <is>
          <t>P1</t>
        </is>
      </c>
      <c r="I57" s="4" t="inlineStr">
        <is>
          <t>M5</t>
        </is>
      </c>
      <c r="J57" s="11" t="inlineStr">
        <is>
          <t>☐</t>
        </is>
      </c>
      <c r="K57" s="11" t="inlineStr">
        <is>
          <t>☐</t>
        </is>
      </c>
      <c r="L57" s="11" t="inlineStr">
        <is>
          <t>☐</t>
        </is>
      </c>
      <c r="M57" s="11" t="inlineStr">
        <is>
          <t>☐</t>
        </is>
      </c>
      <c r="N57" s="4">
        <f>IF(COUNTIF(J57:M57,"☑")=4,"✔ Xong",COUNTIF(J57:M57,"☑")&amp;"/4")</f>
        <v/>
      </c>
      <c r="O57" s="12" t="n"/>
      <c r="P57" s="10" t="inlineStr">
        <is>
          <t>Xuất Excel/PDF</t>
        </is>
      </c>
    </row>
    <row r="58">
      <c r="A58" s="4" t="n">
        <v>54</v>
      </c>
      <c r="B58" s="10" t="inlineStr">
        <is>
          <t>J. Báo cáo</t>
        </is>
      </c>
      <c r="C58" s="10" t="inlineStr">
        <is>
          <t>Báo cáo công nợ</t>
        </is>
      </c>
      <c r="D58" s="10" t="inlineStr">
        <is>
          <t>/app/reports/receivables</t>
        </is>
      </c>
      <c r="E58" s="10" t="inlineStr">
        <is>
          <t>KT-06, QL-10</t>
        </is>
      </c>
      <c r="F58" s="10" t="inlineStr"/>
      <c r="G58" s="10" t="inlineStr">
        <is>
          <t>KT, QL</t>
        </is>
      </c>
      <c r="H58" s="4" t="inlineStr">
        <is>
          <t>P1</t>
        </is>
      </c>
      <c r="I58" s="4" t="inlineStr">
        <is>
          <t>M5</t>
        </is>
      </c>
      <c r="J58" s="11" t="inlineStr">
        <is>
          <t>☐</t>
        </is>
      </c>
      <c r="K58" s="11" t="inlineStr">
        <is>
          <t>☐</t>
        </is>
      </c>
      <c r="L58" s="11" t="inlineStr">
        <is>
          <t>☐</t>
        </is>
      </c>
      <c r="M58" s="11" t="inlineStr">
        <is>
          <t>☐</t>
        </is>
      </c>
      <c r="N58" s="4">
        <f>IF(COUNTIF(J58:M58,"☑")=4,"✔ Xong",COUNTIF(J58:M58,"☑")&amp;"/4")</f>
        <v/>
      </c>
      <c r="O58" s="12" t="n"/>
      <c r="P58" s="10" t="inlineStr">
        <is>
          <t>TK gọi phải 403</t>
        </is>
      </c>
    </row>
    <row r="59">
      <c r="A59" s="4" t="n">
        <v>55</v>
      </c>
      <c r="B59" s="10" t="inlineStr">
        <is>
          <t>J. Báo cáo</t>
        </is>
      </c>
      <c r="C59" s="10" t="inlineStr">
        <is>
          <t>Biên bản đối chiếu công nợ</t>
        </is>
      </c>
      <c r="D59" s="10" t="inlineStr">
        <is>
          <t>/app/reports/reconciliation</t>
        </is>
      </c>
      <c r="E59" s="10" t="inlineStr">
        <is>
          <t>KT-09</t>
        </is>
      </c>
      <c r="F59" s="10" t="inlineStr"/>
      <c r="G59" s="10" t="inlineStr">
        <is>
          <t>KT, QL</t>
        </is>
      </c>
      <c r="H59" s="4" t="inlineStr">
        <is>
          <t>P1</t>
        </is>
      </c>
      <c r="I59" s="4" t="inlineStr">
        <is>
          <t>M5</t>
        </is>
      </c>
      <c r="J59" s="11" t="inlineStr">
        <is>
          <t>☐</t>
        </is>
      </c>
      <c r="K59" s="11" t="inlineStr">
        <is>
          <t>☐</t>
        </is>
      </c>
      <c r="L59" s="11" t="inlineStr">
        <is>
          <t>☐</t>
        </is>
      </c>
      <c r="M59" s="11" t="inlineStr">
        <is>
          <t>☐</t>
        </is>
      </c>
      <c r="N59" s="4">
        <f>IF(COUNTIF(J59:M59,"☑")=4,"✔ Xong",COUNTIF(J59:M59,"☑")&amp;"/4")</f>
        <v/>
      </c>
      <c r="O59" s="12" t="n"/>
      <c r="P59" s="10" t="inlineStr">
        <is>
          <t>In mẫu 8 (chỉ phải thu, không số dư đầu kỳ — G-13)</t>
        </is>
      </c>
    </row>
    <row r="60">
      <c r="A60" s="4" t="n">
        <v>56</v>
      </c>
      <c r="B60" s="10" t="inlineStr">
        <is>
          <t>J. Báo cáo</t>
        </is>
      </c>
      <c r="C60" s="10" t="inlineStr">
        <is>
          <t>In phiếu thu / phiếu chi</t>
        </is>
      </c>
      <c r="D60" s="10" t="inlineStr">
        <is>
          <t>(menu in)</t>
        </is>
      </c>
      <c r="E60" s="10" t="inlineStr">
        <is>
          <t>KT-10</t>
        </is>
      </c>
      <c r="F60" s="10" t="inlineStr"/>
      <c r="G60" s="10" t="inlineStr">
        <is>
          <t>KT</t>
        </is>
      </c>
      <c r="H60" s="4" t="inlineStr">
        <is>
          <t>P2</t>
        </is>
      </c>
      <c r="I60" s="4" t="inlineStr">
        <is>
          <t>M6</t>
        </is>
      </c>
      <c r="J60" s="11" t="inlineStr">
        <is>
          <t>☐</t>
        </is>
      </c>
      <c r="K60" s="11" t="inlineStr">
        <is>
          <t>☐</t>
        </is>
      </c>
      <c r="L60" s="11" t="inlineStr">
        <is>
          <t>☐</t>
        </is>
      </c>
      <c r="M60" s="11" t="inlineStr">
        <is>
          <t>☐</t>
        </is>
      </c>
      <c r="N60" s="4">
        <f>IF(COUNTIF(J60:M60,"☑")=4,"✔ Xong",COUNTIF(J60:M60,"☑")&amp;"/4")</f>
        <v/>
      </c>
      <c r="O60" s="12" t="n"/>
      <c r="P60" s="10" t="inlineStr">
        <is>
          <t>In mẫu 9 (01-TT / 02-TT) — cần bảng thanh toán (G-13)</t>
        </is>
      </c>
    </row>
    <row r="61">
      <c r="A61" s="4" t="n">
        <v>57</v>
      </c>
      <c r="B61" s="10" t="inlineStr">
        <is>
          <t>J. Báo cáo</t>
        </is>
      </c>
      <c r="C61" s="10" t="inlineStr">
        <is>
          <t>Báo cáo cho thuê / cho mượn</t>
        </is>
      </c>
      <c r="D61" s="10" t="inlineStr">
        <is>
          <t>/app/reports/rental</t>
        </is>
      </c>
      <c r="E61" s="10" t="inlineStr">
        <is>
          <t>QL-09</t>
        </is>
      </c>
      <c r="F61" s="10" t="inlineStr"/>
      <c r="G61" s="10" t="inlineStr">
        <is>
          <t>QL</t>
        </is>
      </c>
      <c r="H61" s="4" t="inlineStr">
        <is>
          <t>P1</t>
        </is>
      </c>
      <c r="I61" s="4" t="inlineStr">
        <is>
          <t>M5</t>
        </is>
      </c>
      <c r="J61" s="11" t="inlineStr">
        <is>
          <t>☐</t>
        </is>
      </c>
      <c r="K61" s="11" t="inlineStr">
        <is>
          <t>☐</t>
        </is>
      </c>
      <c r="L61" s="11" t="inlineStr">
        <is>
          <t>☐</t>
        </is>
      </c>
      <c r="M61" s="11" t="inlineStr">
        <is>
          <t>☐</t>
        </is>
      </c>
      <c r="N61" s="4">
        <f>IF(COUNTIF(J61:M61,"☑")=4,"✔ Xong",COUNTIF(J61:M61,"☑")&amp;"/4")</f>
        <v/>
      </c>
      <c r="O61" s="12" t="n"/>
      <c r="P61" s="10" t="inlineStr">
        <is>
          <t>Tách riêng thuê và mượn</t>
        </is>
      </c>
    </row>
    <row r="62">
      <c r="A62" s="4" t="n">
        <v>58</v>
      </c>
      <c r="B62" s="10" t="inlineStr">
        <is>
          <t>K. Quản trị</t>
        </is>
      </c>
      <c r="C62" s="10" t="inlineStr">
        <is>
          <t>Người dùng - danh sách</t>
        </is>
      </c>
      <c r="D62" s="10" t="inlineStr">
        <is>
          <t>/app/admin/users</t>
        </is>
      </c>
      <c r="E62" s="10" t="inlineStr">
        <is>
          <t>QL-08, QT-01</t>
        </is>
      </c>
      <c r="F62" s="10" t="inlineStr">
        <is>
          <t>#1, #13</t>
        </is>
      </c>
      <c r="G62" s="10" t="inlineStr">
        <is>
          <t>QT, QL (xem)</t>
        </is>
      </c>
      <c r="H62" s="4" t="inlineStr">
        <is>
          <t>P1</t>
        </is>
      </c>
      <c r="I62" s="4" t="inlineStr">
        <is>
          <t>M2</t>
        </is>
      </c>
      <c r="J62" s="11" t="inlineStr">
        <is>
          <t>☐</t>
        </is>
      </c>
      <c r="K62" s="11" t="inlineStr">
        <is>
          <t>☐</t>
        </is>
      </c>
      <c r="L62" s="11" t="inlineStr">
        <is>
          <t>☐</t>
        </is>
      </c>
      <c r="M62" s="11" t="inlineStr">
        <is>
          <t>☐</t>
        </is>
      </c>
      <c r="N62" s="4">
        <f>IF(COUNTIF(J62:M62,"☑")=4,"✔ Xong",COUNTIF(J62:M62,"☑")&amp;"/4")</f>
        <v/>
      </c>
      <c r="O62" s="12" t="n"/>
      <c r="P62" s="10" t="inlineStr"/>
    </row>
    <row r="63">
      <c r="A63" s="4" t="n">
        <v>59</v>
      </c>
      <c r="B63" s="10" t="inlineStr">
        <is>
          <t>K. Quản trị</t>
        </is>
      </c>
      <c r="C63" s="10" t="inlineStr">
        <is>
          <t>Người dùng - form tạo/sửa/khoá</t>
        </is>
      </c>
      <c r="D63" s="10" t="inlineStr">
        <is>
          <t>/app/admin/users/new, /:id</t>
        </is>
      </c>
      <c r="E63" s="10" t="inlineStr">
        <is>
          <t>QT-01</t>
        </is>
      </c>
      <c r="F63" s="10" t="inlineStr"/>
      <c r="G63" s="10" t="inlineStr">
        <is>
          <t>QT</t>
        </is>
      </c>
      <c r="H63" s="4" t="inlineStr">
        <is>
          <t>P1</t>
        </is>
      </c>
      <c r="I63" s="4" t="inlineStr">
        <is>
          <t>M2</t>
        </is>
      </c>
      <c r="J63" s="11" t="inlineStr">
        <is>
          <t>☐</t>
        </is>
      </c>
      <c r="K63" s="11" t="inlineStr">
        <is>
          <t>☐</t>
        </is>
      </c>
      <c r="L63" s="11" t="inlineStr">
        <is>
          <t>☐</t>
        </is>
      </c>
      <c r="M63" s="11" t="inlineStr">
        <is>
          <t>☐</t>
        </is>
      </c>
      <c r="N63" s="4">
        <f>IF(COUNTIF(J63:M63,"☑")=4,"✔ Xong",COUNTIF(J63:M63,"☑")&amp;"/4")</f>
        <v/>
      </c>
      <c r="O63" s="12" t="n"/>
      <c r="P63" s="10" t="inlineStr">
        <is>
          <t>Username chỉ đặt lúc tạo</t>
        </is>
      </c>
    </row>
    <row r="64">
      <c r="A64" s="4" t="n">
        <v>60</v>
      </c>
      <c r="B64" s="10" t="inlineStr">
        <is>
          <t>K. Quản trị</t>
        </is>
      </c>
      <c r="C64" s="10" t="inlineStr">
        <is>
          <t>Vai trò &amp; ma trận phân quyền</t>
        </is>
      </c>
      <c r="D64" s="10" t="inlineStr">
        <is>
          <t>/app/admin/roles</t>
        </is>
      </c>
      <c r="E64" s="10" t="inlineStr">
        <is>
          <t>QT-02</t>
        </is>
      </c>
      <c r="F64" s="10" t="inlineStr"/>
      <c r="G64" s="10" t="inlineStr">
        <is>
          <t>QT</t>
        </is>
      </c>
      <c r="H64" s="4" t="inlineStr">
        <is>
          <t>P1</t>
        </is>
      </c>
      <c r="I64" s="4" t="inlineStr">
        <is>
          <t>M2</t>
        </is>
      </c>
      <c r="J64" s="11" t="inlineStr">
        <is>
          <t>☐</t>
        </is>
      </c>
      <c r="K64" s="11" t="inlineStr">
        <is>
          <t>☐</t>
        </is>
      </c>
      <c r="L64" s="11" t="inlineStr">
        <is>
          <t>☐</t>
        </is>
      </c>
      <c r="M64" s="11" t="inlineStr">
        <is>
          <t>☐</t>
        </is>
      </c>
      <c r="N64" s="4">
        <f>IF(COUNTIF(J64:M64,"☑")=4,"✔ Xong",COUNTIF(J64:M64,"☑")&amp;"/4")</f>
        <v/>
      </c>
      <c r="O64" s="12" t="n"/>
      <c r="P64" s="10" t="inlineStr">
        <is>
          <t>Chỉ xem</t>
        </is>
      </c>
    </row>
    <row r="65">
      <c r="A65" s="4" t="n">
        <v>61</v>
      </c>
      <c r="B65" s="10" t="inlineStr">
        <is>
          <t>K. Quản trị</t>
        </is>
      </c>
      <c r="C65" s="10" t="inlineStr">
        <is>
          <t>Nhật ký hoạt động (audit log)</t>
        </is>
      </c>
      <c r="D65" s="10" t="inlineStr">
        <is>
          <t>/app/admin/audit-logs</t>
        </is>
      </c>
      <c r="E65" s="10" t="inlineStr">
        <is>
          <t>QT-03, QL-08</t>
        </is>
      </c>
      <c r="F65" s="10" t="inlineStr">
        <is>
          <t>#1, #13</t>
        </is>
      </c>
      <c r="G65" s="10" t="inlineStr">
        <is>
          <t>QT, QL</t>
        </is>
      </c>
      <c r="H65" s="4" t="inlineStr">
        <is>
          <t>P1</t>
        </is>
      </c>
      <c r="I65" s="4" t="inlineStr">
        <is>
          <t>M2</t>
        </is>
      </c>
      <c r="J65" s="11" t="inlineStr">
        <is>
          <t>☐</t>
        </is>
      </c>
      <c r="K65" s="11" t="inlineStr">
        <is>
          <t>☐</t>
        </is>
      </c>
      <c r="L65" s="11" t="inlineStr">
        <is>
          <t>☐</t>
        </is>
      </c>
      <c r="M65" s="11" t="inlineStr">
        <is>
          <t>☐</t>
        </is>
      </c>
      <c r="N65" s="4">
        <f>IF(COUNTIF(J65:M65,"☑")=4,"✔ Xong",COUNTIF(J65:M65,"☑")&amp;"/4")</f>
        <v/>
      </c>
      <c r="O65" s="12" t="n"/>
      <c r="P65" s="10" t="inlineStr"/>
    </row>
    <row r="66">
      <c r="A66" s="4" t="n">
        <v>62</v>
      </c>
      <c r="B66" s="10" t="inlineStr">
        <is>
          <t>K. Quản trị</t>
        </is>
      </c>
      <c r="C66" s="10" t="inlineStr">
        <is>
          <t>Cấu hình mẫu VAT</t>
        </is>
      </c>
      <c r="D66" s="10" t="inlineStr">
        <is>
          <t>/app/admin/settings/vat</t>
        </is>
      </c>
      <c r="E66" s="10" t="inlineStr">
        <is>
          <t>QT-04</t>
        </is>
      </c>
      <c r="F66" s="10" t="inlineStr"/>
      <c r="G66" s="10" t="inlineStr">
        <is>
          <t>QT</t>
        </is>
      </c>
      <c r="H66" s="4" t="inlineStr">
        <is>
          <t>P1</t>
        </is>
      </c>
      <c r="I66" s="4" t="inlineStr">
        <is>
          <t>M5</t>
        </is>
      </c>
      <c r="J66" s="11" t="inlineStr">
        <is>
          <t>☐</t>
        </is>
      </c>
      <c r="K66" s="11" t="inlineStr">
        <is>
          <t>☐</t>
        </is>
      </c>
      <c r="L66" s="11" t="inlineStr">
        <is>
          <t>☐</t>
        </is>
      </c>
      <c r="M66" s="11" t="inlineStr">
        <is>
          <t>☐</t>
        </is>
      </c>
      <c r="N66" s="4">
        <f>IF(COUNTIF(J66:M66,"☑")=4,"✔ Xong",COUNTIF(J66:M66,"☑")&amp;"/4")</f>
        <v/>
      </c>
      <c r="O66" s="12" t="n"/>
      <c r="P66" s="10" t="inlineStr">
        <is>
          <t>P1 chỉ xem; thêm/sửa là P2</t>
        </is>
      </c>
    </row>
    <row r="67">
      <c r="A67" s="4" t="n">
        <v>63</v>
      </c>
      <c r="B67" s="10" t="inlineStr">
        <is>
          <t>K. Quản trị</t>
        </is>
      </c>
      <c r="C67" s="10" t="inlineStr">
        <is>
          <t>Cấu hình quy tắc thuê (7 / 10 ngày)</t>
        </is>
      </c>
      <c r="D67" s="10" t="inlineStr">
        <is>
          <t>/app/admin/settings/rental-rules</t>
        </is>
      </c>
      <c r="E67" s="10" t="inlineStr">
        <is>
          <t>QL-11</t>
        </is>
      </c>
      <c r="F67" s="10" t="inlineStr"/>
      <c r="G67" s="10" t="inlineStr">
        <is>
          <t>QL, QT</t>
        </is>
      </c>
      <c r="H67" s="4" t="inlineStr">
        <is>
          <t>P1</t>
        </is>
      </c>
      <c r="I67" s="4" t="inlineStr">
        <is>
          <t>M4</t>
        </is>
      </c>
      <c r="J67" s="11" t="inlineStr">
        <is>
          <t>☐</t>
        </is>
      </c>
      <c r="K67" s="11" t="inlineStr">
        <is>
          <t>☐</t>
        </is>
      </c>
      <c r="L67" s="11" t="inlineStr">
        <is>
          <t>☐</t>
        </is>
      </c>
      <c r="M67" s="11" t="inlineStr">
        <is>
          <t>☐</t>
        </is>
      </c>
      <c r="N67" s="4">
        <f>IF(COUNTIF(J67:M67,"☑")=4,"✔ Xong",COUNTIF(J67:M67,"☑")&amp;"/4")</f>
        <v/>
      </c>
      <c r="O67" s="12" t="n"/>
      <c r="P67" s="10" t="inlineStr">
        <is>
          <t>P1 chỉ xem (G-2)</t>
        </is>
      </c>
    </row>
    <row r="68">
      <c r="A68" s="4" t="n">
        <v>64</v>
      </c>
      <c r="B68" s="10" t="inlineStr">
        <is>
          <t>K. Quản trị</t>
        </is>
      </c>
      <c r="C68" s="10" t="inlineStr">
        <is>
          <t>Loại giao dịch &amp; trạng thái thanh toán</t>
        </is>
      </c>
      <c r="D68" s="10" t="inlineStr">
        <is>
          <t>/app/admin/settings/lookups</t>
        </is>
      </c>
      <c r="E68" s="10" t="inlineStr">
        <is>
          <t>QT-05</t>
        </is>
      </c>
      <c r="F68" s="10" t="inlineStr"/>
      <c r="G68" s="10" t="inlineStr">
        <is>
          <t>QT</t>
        </is>
      </c>
      <c r="H68" s="4" t="inlineStr">
        <is>
          <t>P1</t>
        </is>
      </c>
      <c r="I68" s="4" t="inlineStr">
        <is>
          <t>M5</t>
        </is>
      </c>
      <c r="J68" s="11" t="inlineStr">
        <is>
          <t>☐</t>
        </is>
      </c>
      <c r="K68" s="11" t="inlineStr">
        <is>
          <t>☐</t>
        </is>
      </c>
      <c r="L68" s="11" t="inlineStr">
        <is>
          <t>☐</t>
        </is>
      </c>
      <c r="M68" s="11" t="inlineStr">
        <is>
          <t>☐</t>
        </is>
      </c>
      <c r="N68" s="4">
        <f>IF(COUNTIF(J68:M68,"☑")=4,"✔ Xong",COUNTIF(J68:M68,"☑")&amp;"/4")</f>
        <v/>
      </c>
      <c r="O68" s="12" t="n"/>
      <c r="P68" s="10" t="inlineStr">
        <is>
          <t>Chỉ xem</t>
        </is>
      </c>
    </row>
    <row r="69">
      <c r="A69" s="4" t="n">
        <v>65</v>
      </c>
      <c r="B69" s="10" t="inlineStr">
        <is>
          <t>K. Quản trị</t>
        </is>
      </c>
      <c r="C69" s="10" t="inlineStr">
        <is>
          <t>Thống kê truy cập theo tháng</t>
        </is>
      </c>
      <c r="D69" s="10" t="inlineStr">
        <is>
          <t>/app/admin/access-stats</t>
        </is>
      </c>
      <c r="E69" s="10" t="inlineStr">
        <is>
          <t>QT-06</t>
        </is>
      </c>
      <c r="F69" s="10" t="inlineStr">
        <is>
          <t>#9</t>
        </is>
      </c>
      <c r="G69" s="10" t="inlineStr">
        <is>
          <t>QT</t>
        </is>
      </c>
      <c r="H69" s="4" t="inlineStr">
        <is>
          <t>P2</t>
        </is>
      </c>
      <c r="I69" s="4" t="inlineStr">
        <is>
          <t>M6</t>
        </is>
      </c>
      <c r="J69" s="11" t="inlineStr">
        <is>
          <t>☐</t>
        </is>
      </c>
      <c r="K69" s="11" t="inlineStr">
        <is>
          <t>☐</t>
        </is>
      </c>
      <c r="L69" s="11" t="inlineStr">
        <is>
          <t>☐</t>
        </is>
      </c>
      <c r="M69" s="11" t="inlineStr">
        <is>
          <t>☐</t>
        </is>
      </c>
      <c r="N69" s="4">
        <f>IF(COUNTIF(J69:M69,"☑")=4,"✔ Xong",COUNTIF(J69:M69,"☑")&amp;"/4")</f>
        <v/>
      </c>
      <c r="O69" s="12" t="n"/>
      <c r="P69" s="10" t="inlineStr">
        <is>
          <t>G-4</t>
        </is>
      </c>
    </row>
    <row r="70">
      <c r="A70" s="4" t="n">
        <v>66</v>
      </c>
      <c r="B70" s="10" t="inlineStr">
        <is>
          <t>K. Quản trị</t>
        </is>
      </c>
      <c r="C70" s="10" t="inlineStr">
        <is>
          <t>Branding tenant (logo, màu)</t>
        </is>
      </c>
      <c r="D70" s="10" t="inlineStr">
        <is>
          <t>/app/admin/branding</t>
        </is>
      </c>
      <c r="E70" s="10" t="inlineStr">
        <is>
          <t>PUB-05</t>
        </is>
      </c>
      <c r="F70" s="10" t="inlineStr"/>
      <c r="G70" s="10" t="inlineStr">
        <is>
          <t>QT</t>
        </is>
      </c>
      <c r="H70" s="4" t="inlineStr">
        <is>
          <t>P2</t>
        </is>
      </c>
      <c r="I70" s="4" t="inlineStr">
        <is>
          <t>M6</t>
        </is>
      </c>
      <c r="J70" s="11" t="inlineStr">
        <is>
          <t>☐</t>
        </is>
      </c>
      <c r="K70" s="11" t="inlineStr">
        <is>
          <t>☐</t>
        </is>
      </c>
      <c r="L70" s="11" t="inlineStr">
        <is>
          <t>☐</t>
        </is>
      </c>
      <c r="M70" s="11" t="inlineStr">
        <is>
          <t>☐</t>
        </is>
      </c>
      <c r="N70" s="4">
        <f>IF(COUNTIF(J70:M70,"☑")=4,"✔ Xong",COUNTIF(J70:M70,"☑")&amp;"/4")</f>
        <v/>
      </c>
      <c r="O70" s="12" t="n"/>
      <c r="P70" s="10" t="inlineStr"/>
    </row>
    <row r="71">
      <c r="A71" s="4" t="n">
        <v>67</v>
      </c>
      <c r="B71" s="10" t="inlineStr">
        <is>
          <t>L. Trả hàng bán (P2)</t>
        </is>
      </c>
      <c r="C71" s="10" t="inlineStr">
        <is>
          <t>Trả/đổi hàng bán - danh sách / form / chi tiết + duyệt</t>
        </is>
      </c>
      <c r="D71" s="10" t="inlineStr">
        <is>
          <t>/app/sales-returns</t>
        </is>
      </c>
      <c r="E71" s="10" t="inlineStr">
        <is>
          <t>BH-11, BH-12, QL-05</t>
        </is>
      </c>
      <c r="F71" s="10" t="inlineStr"/>
      <c r="G71" s="10" t="inlineStr">
        <is>
          <t>BH, QL</t>
        </is>
      </c>
      <c r="H71" s="4" t="inlineStr">
        <is>
          <t>P2</t>
        </is>
      </c>
      <c r="I71" s="4" t="inlineStr">
        <is>
          <t>M6</t>
        </is>
      </c>
      <c r="J71" s="11" t="inlineStr">
        <is>
          <t>☐</t>
        </is>
      </c>
      <c r="K71" s="11" t="inlineStr">
        <is>
          <t>☐</t>
        </is>
      </c>
      <c r="L71" s="11" t="inlineStr">
        <is>
          <t>☐</t>
        </is>
      </c>
      <c r="M71" s="11" t="inlineStr">
        <is>
          <t>☐</t>
        </is>
      </c>
      <c r="N71" s="4">
        <f>IF(COUNTIF(J71:M71,"☑")=4,"✔ Xong",COUNTIF(J71:M71,"☑")&amp;"/4")</f>
        <v/>
      </c>
      <c r="O71" s="12" t="n"/>
      <c r="P71" s="10" t="inlineStr">
        <is>
          <t>In mẫu 10</t>
        </is>
      </c>
    </row>
    <row r="72">
      <c r="A72" s="4" t="n">
        <v>68</v>
      </c>
      <c r="B72" s="10" t="inlineStr">
        <is>
          <t>L. Trả hàng bán (P2)</t>
        </is>
      </c>
      <c r="C72" s="10" t="inlineStr">
        <is>
          <t>Chính sách phí hoàn trả</t>
        </is>
      </c>
      <c r="D72" s="10" t="inlineStr">
        <is>
          <t>/app/sales-returns/fee-policies</t>
        </is>
      </c>
      <c r="E72" s="10" t="inlineStr">
        <is>
          <t>BH-11</t>
        </is>
      </c>
      <c r="F72" s="10" t="inlineStr"/>
      <c r="G72" s="10" t="inlineStr">
        <is>
          <t>QL</t>
        </is>
      </c>
      <c r="H72" s="4" t="inlineStr">
        <is>
          <t>P2</t>
        </is>
      </c>
      <c r="I72" s="4" t="inlineStr">
        <is>
          <t>M6</t>
        </is>
      </c>
      <c r="J72" s="11" t="inlineStr">
        <is>
          <t>☐</t>
        </is>
      </c>
      <c r="K72" s="11" t="inlineStr">
        <is>
          <t>☐</t>
        </is>
      </c>
      <c r="L72" s="11" t="inlineStr">
        <is>
          <t>☐</t>
        </is>
      </c>
      <c r="M72" s="11" t="inlineStr">
        <is>
          <t>☐</t>
        </is>
      </c>
      <c r="N72" s="4">
        <f>IF(COUNTIF(J72:M72,"☑")=4,"✔ Xong",COUNTIF(J72:M72,"☑")&amp;"/4")</f>
        <v/>
      </c>
      <c r="O72" s="12" t="n"/>
      <c r="P72" s="10" t="inlineStr"/>
    </row>
  </sheetData>
  <autoFilter ref="A4:P72"/>
  <mergeCells count="1">
    <mergeCell ref="A2:P2"/>
  </mergeCells>
  <conditionalFormatting sqref="A5:P72">
    <cfRule type="expression" priority="1" dxfId="0">
      <formula>COUNTIF($J5:$M5,"☑")=4</formula>
    </cfRule>
  </conditionalFormatting>
  <conditionalFormatting sqref="H5:H72">
    <cfRule type="cellIs" priority="2" operator="equal" dxfId="1">
      <formula>"P2"</formula>
    </cfRule>
    <cfRule type="cellIs" priority="3" operator="equal" dxfId="2">
      <formula>"Chờ chốt"</formula>
    </cfRule>
  </conditionalFormatting>
  <dataValidations count="1">
    <dataValidation sqref="J5:M72" showDropDown="0" showInputMessage="0" showErrorMessage="0" allowBlank="0" errorTitle="Giá trị không hợp lệ" error="Chọn ☐ hoặc ☑" promptTitle="Checkbox" prompt="Chọn ☑ khi xong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44" customWidth="1" min="4" max="4"/>
    <col width="10" customWidth="1" min="5" max="5"/>
    <col width="30" customWidth="1" min="6" max="6"/>
  </cols>
  <sheetData>
    <row r="1">
      <c r="A1" s="1" t="inlineStr">
        <is>
          <t>QUY ĐỊNH UI ÁP DỤNG TOÀN BỘ TRANG (NOTE UXUI + NFR-4)</t>
        </is>
      </c>
    </row>
    <row r="3" ht="32" customHeight="1">
      <c r="A3" s="2" t="inlineStr">
        <is>
          <t>#</t>
        </is>
      </c>
      <c r="B3" s="2" t="inlineStr">
        <is>
          <t>Yêu cầu</t>
        </is>
      </c>
      <c r="C3" s="2" t="inlineStr">
        <is>
          <t>Trạng thái theo tài liệu</t>
        </is>
      </c>
      <c r="D3" s="2" t="inlineStr">
        <is>
          <t>Nơi xử lý trong frontend</t>
        </is>
      </c>
      <c r="E3" s="2" t="inlineStr">
        <is>
          <t>Đã code</t>
        </is>
      </c>
      <c r="F3" s="2" t="inlineStr">
        <is>
          <t>Ghi chú</t>
        </is>
      </c>
    </row>
    <row r="4">
      <c r="A4" s="10" t="n">
        <v>1</v>
      </c>
      <c r="B4" s="10" t="inlineStr">
        <is>
          <t>Bảng dữ liệu: tăng cỡ chữ, kẻ dòng rõ, phân trang 20–50 dòng/trang</t>
        </is>
      </c>
      <c r="C4" s="10" t="inlineStr">
        <is>
          <t>Đã fix (thiết kế)</t>
        </is>
      </c>
      <c r="D4" s="10" t="inlineStr">
        <is>
          <t>shared/data_table/</t>
        </is>
      </c>
      <c r="E4" s="11" t="inlineStr">
        <is>
          <t>☐</t>
        </is>
      </c>
      <c r="F4" s="10" t="n"/>
    </row>
    <row r="5">
      <c r="A5" s="10" t="n">
        <v>2</v>
      </c>
      <c r="B5" s="10" t="inlineStr">
        <is>
          <t>Tiêu đề in hoa hết</t>
        </is>
      </c>
      <c r="C5" s="10" t="inlineStr">
        <is>
          <t>Đã fix (thiết kế)</t>
        </is>
      </c>
      <c r="D5" s="10" t="inlineStr">
        <is>
          <t>core/theme/app_typography.dart</t>
        </is>
      </c>
      <c r="E5" s="11" t="inlineStr">
        <is>
          <t>☐</t>
        </is>
      </c>
      <c r="F5" s="10" t="n"/>
    </row>
    <row r="6">
      <c r="A6" s="10" t="n">
        <v>3</v>
      </c>
      <c r="B6" s="10" t="inlineStr">
        <is>
          <t>Thông tin quan trọng in đậm</t>
        </is>
      </c>
      <c r="C6" s="10" t="inlineStr">
        <is>
          <t>Đã fix (thiết kế)</t>
        </is>
      </c>
      <c r="D6" s="10" t="inlineStr">
        <is>
          <t>core/theme/app_typography.dart</t>
        </is>
      </c>
      <c r="E6" s="11" t="inlineStr">
        <is>
          <t>☐</t>
        </is>
      </c>
      <c r="F6" s="10" t="n"/>
    </row>
    <row r="7">
      <c r="A7" s="10" t="n">
        <v>4</v>
      </c>
      <c r="B7" s="10" t="inlineStr">
        <is>
          <t>Tăng độ mờ của cửa sổ modal/dialog</t>
        </is>
      </c>
      <c r="C7" s="10" t="inlineStr">
        <is>
          <t>Đã fix (thiết kế)</t>
        </is>
      </c>
      <c r="D7" s="10" t="inlineStr">
        <is>
          <t>shared/feedback/app_modal.dart</t>
        </is>
      </c>
      <c r="E7" s="11" t="inlineStr">
        <is>
          <t>☐</t>
        </is>
      </c>
      <c r="F7" s="10" t="n"/>
    </row>
    <row r="8">
      <c r="A8" s="10" t="n">
        <v>5</v>
      </c>
      <c r="B8" s="10" t="inlineStr">
        <is>
          <t>Dashboard: biểu đồ nhập/xuất lên đầu, co giãn theo màn hình</t>
        </is>
      </c>
      <c r="C8" s="10" t="inlineStr">
        <is>
          <t>Đã fix (thiết kế)</t>
        </is>
      </c>
      <c r="D8" s="10" t="inlineStr">
        <is>
          <t>features/dashboard/</t>
        </is>
      </c>
      <c r="E8" s="11" t="inlineStr">
        <is>
          <t>☐</t>
        </is>
      </c>
      <c r="F8" s="10" t="n"/>
    </row>
    <row r="9">
      <c r="A9" s="10" t="n">
        <v>6</v>
      </c>
      <c r="B9" s="10" t="inlineStr">
        <is>
          <t>Ảnh nền/minh hoạ sáng, sạch</t>
        </is>
      </c>
      <c r="C9" s="10" t="inlineStr">
        <is>
          <t>Đã fix (thiết kế)</t>
        </is>
      </c>
      <c r="D9" s="10" t="inlineStr">
        <is>
          <t>assets/</t>
        </is>
      </c>
      <c r="E9" s="11" t="inlineStr">
        <is>
          <t>☐</t>
        </is>
      </c>
      <c r="F9" s="10" t="n"/>
    </row>
    <row r="10">
      <c r="A10" s="10" t="n">
        <v>7</v>
      </c>
      <c r="B10" s="10" t="inlineStr">
        <is>
          <t>Navbar chữ size 20, logo to</t>
        </is>
      </c>
      <c r="C10" s="10" t="inlineStr">
        <is>
          <t>Đã fix (thiết kế)</t>
        </is>
      </c>
      <c r="D10" s="10" t="inlineStr">
        <is>
          <t>shared/layout/nav_bar.dart</t>
        </is>
      </c>
      <c r="E10" s="11" t="inlineStr">
        <is>
          <t>☐</t>
        </is>
      </c>
      <c r="F10" s="10" t="n"/>
    </row>
    <row r="11">
      <c r="A11" s="10" t="n">
        <v>8</v>
      </c>
      <c r="B11" s="10" t="inlineStr">
        <is>
          <t>Cảnh báo pop-up mỗi lần vào trang + icon alert có số chưa đọc nổi bật</t>
        </is>
      </c>
      <c r="C11" s="13" t="inlineStr">
        <is>
          <t>Chưa fix</t>
        </is>
      </c>
      <c r="D11" s="10" t="inlineStr">
        <is>
          <t>features/alerts/</t>
        </is>
      </c>
      <c r="E11" s="11" t="inlineStr">
        <is>
          <t>☐</t>
        </is>
      </c>
      <c r="F11" s="10" t="n"/>
    </row>
    <row r="12">
      <c r="A12" s="10" t="n">
        <v>9</v>
      </c>
      <c r="B12" s="10" t="inlineStr">
        <is>
          <t>Trang admin: người dùng/vai trò, thống kê truy cập theo tháng</t>
        </is>
      </c>
      <c r="C12" s="13" t="inlineStr">
        <is>
          <t>Chưa fix (P2)</t>
        </is>
      </c>
      <c r="D12" s="10" t="inlineStr">
        <is>
          <t>features/admin/</t>
        </is>
      </c>
      <c r="E12" s="11" t="inlineStr">
        <is>
          <t>☐</t>
        </is>
      </c>
      <c r="F12" s="10" t="n"/>
    </row>
    <row r="13">
      <c r="A13" s="10" t="n">
        <v>10</v>
      </c>
      <c r="B13" s="10" t="inlineStr">
        <is>
          <t>Một font thống nhất (Geist), tiêu đề nổi bật dùng font khác</t>
        </is>
      </c>
      <c r="C13" s="10" t="inlineStr">
        <is>
          <t>Đã fix (thiết kế)</t>
        </is>
      </c>
      <c r="D13" s="10" t="inlineStr">
        <is>
          <t>core/theme/app_typography.dart</t>
        </is>
      </c>
      <c r="E13" s="11" t="inlineStr">
        <is>
          <t>☐</t>
        </is>
      </c>
      <c r="F13" s="10" t="n"/>
    </row>
    <row r="14">
      <c r="A14" s="10" t="n">
        <v>11</v>
      </c>
      <c r="B14" s="10" t="inlineStr">
        <is>
          <t>Trang đăng nhập, đăng ký / quên mật khẩu (OTP email)</t>
        </is>
      </c>
      <c r="C14" s="10" t="inlineStr">
        <is>
          <t>Đã fix (thiết kế) - đăng ký chờ chốt G-1</t>
        </is>
      </c>
      <c r="D14" s="10" t="inlineStr">
        <is>
          <t>features/auth/</t>
        </is>
      </c>
      <c r="E14" s="11" t="inlineStr">
        <is>
          <t>☐</t>
        </is>
      </c>
      <c r="F14" s="10" t="n"/>
    </row>
    <row r="15">
      <c r="A15" s="10" t="n">
        <v>12</v>
      </c>
      <c r="B15" s="10" t="inlineStr">
        <is>
          <t>Giới hạn menu &amp; dữ liệu theo vai trò; khách chỉ xem trang công khai</t>
        </is>
      </c>
      <c r="C15" s="13" t="inlineStr">
        <is>
          <t>Chưa fix</t>
        </is>
      </c>
      <c r="D15" s="10" t="inlineStr">
        <is>
          <t>core/router/guards.dart, core/auth/permissions.dart</t>
        </is>
      </c>
      <c r="E15" s="11" t="inlineStr">
        <is>
          <t>☐</t>
        </is>
      </c>
      <c r="F15" s="10" t="n"/>
    </row>
    <row r="16">
      <c r="A16" s="10" t="n">
        <v>13</v>
      </c>
      <c r="B16" s="10" t="inlineStr">
        <is>
          <t>Bảng: filter/sort theo cột, header sticky khi cuộn</t>
        </is>
      </c>
      <c r="C16" s="13" t="inlineStr">
        <is>
          <t>Chưa fix</t>
        </is>
      </c>
      <c r="D16" s="10" t="inlineStr">
        <is>
          <t>shared/data_table/</t>
        </is>
      </c>
      <c r="E16" s="11" t="inlineStr">
        <is>
          <t>☐</t>
        </is>
      </c>
      <c r="F16" s="10" t="n"/>
    </row>
    <row r="17">
      <c r="A17" s="10" t="n">
        <v>14</v>
      </c>
      <c r="B17" s="10" t="inlineStr">
        <is>
          <t>Toast lỗi/thành công tiếng Việt rõ ràng</t>
        </is>
      </c>
      <c r="C17" s="13" t="inlineStr">
        <is>
          <t>Chưa fix</t>
        </is>
      </c>
      <c r="D17" s="10" t="inlineStr">
        <is>
          <t>shared/feedback/toast.dart</t>
        </is>
      </c>
      <c r="E17" s="11" t="inlineStr">
        <is>
          <t>☐</t>
        </is>
      </c>
      <c r="F17" s="10" t="n"/>
    </row>
    <row r="18">
      <c r="A18" s="10" t="n">
        <v>15</v>
      </c>
      <c r="B18" s="10" t="inlineStr">
        <is>
          <t>Responsive Desktop / Tablet / Mobile</t>
        </is>
      </c>
      <c r="C18" s="10" t="inlineStr">
        <is>
          <t>NFR-4</t>
        </is>
      </c>
      <c r="D18" s="10" t="inlineStr">
        <is>
          <t>shared/layout/responsive_layout.dart</t>
        </is>
      </c>
      <c r="E18" s="11" t="inlineStr">
        <is>
          <t>☐</t>
        </is>
      </c>
      <c r="F18" s="10" t="n"/>
    </row>
    <row r="19">
      <c r="A19" s="10" t="n">
        <v>16</v>
      </c>
      <c r="B19" s="10" t="inlineStr">
        <is>
          <t>Dark / light mode</t>
        </is>
      </c>
      <c r="C19" s="10" t="inlineStr">
        <is>
          <t>NFR-4</t>
        </is>
      </c>
      <c r="D19" s="10" t="inlineStr">
        <is>
          <t>core/theme/</t>
        </is>
      </c>
      <c r="E19" s="11" t="inlineStr">
        <is>
          <t>☐</t>
        </is>
      </c>
      <c r="F19" s="10" t="n"/>
    </row>
  </sheetData>
  <conditionalFormatting sqref="A4:F19">
    <cfRule type="expression" priority="1" dxfId="0">
      <formula>$E4="☑"</formula>
    </cfRule>
  </conditionalFormatting>
  <dataValidations count="1">
    <dataValidation sqref="E4:E19" showDropDown="0" showInputMessage="0" showErrorMessage="0" allowBlank="0" errorTitle="Giá trị không hợp lệ" error="Chọn ☐ hoặc ☑" promptTitle="Checkbox" prompt="Chọn ☑ khi xong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2026-10-01T07:16:25Z</dcterms:created>
  <dcterms:modified xmlns:dcterms="http://purl.org/dc/terms/" xmlns:xsi="http://www.w3.org/2001/XMLSchema-instance" xsi:type="dcterms:W3CDTF">2026-10-06T09:10:05Z</dcterms:modified>
</cp:coreProperties>
</file>